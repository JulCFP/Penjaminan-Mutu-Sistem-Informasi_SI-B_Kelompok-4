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codeName="ThisWorkbook"/>
  <xr:revisionPtr revIDLastSave="0" documentId="13_ncr:1_{17E3343E-A85B-4317-8DB3-4B17E99B0176}" xr6:coauthVersionLast="47" xr6:coauthVersionMax="47" xr10:uidLastSave="{00000000-0000-0000-0000-000000000000}"/>
  <bookViews>
    <workbookView xWindow="-90" yWindow="0" windowWidth="9780" windowHeight="12090" tabRatio="824" xr2:uid="{00000000-000D-0000-FFFF-FFFF00000000}"/>
  </bookViews>
  <sheets>
    <sheet name="About" sheetId="52" r:id="rId1"/>
    <sheet name="October" sheetId="61" r:id="rId2"/>
    <sheet name="November" sheetId="62" r:id="rId3"/>
    <sheet name="December" sheetId="63" r:id="rId4"/>
  </sheets>
  <definedNames>
    <definedName name="_xlnm.Print_Area" localSheetId="3">December!$C$2:$AD$18</definedName>
    <definedName name="_xlnm.Print_Area" localSheetId="2">November!$C$2:$AD$18</definedName>
    <definedName name="_xlnm.Print_Area" localSheetId="1">October!$C$2:$AD$18</definedName>
    <definedName name="start_day">About!$P$10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52" l="1"/>
  <c r="AD26" i="63"/>
  <c r="AC26" i="63"/>
  <c r="AB26" i="63"/>
  <c r="AA26" i="63"/>
  <c r="Z26" i="63"/>
  <c r="Y26" i="63"/>
  <c r="X26" i="63"/>
  <c r="U26" i="63"/>
  <c r="T26" i="63"/>
  <c r="S26" i="63"/>
  <c r="R26" i="63"/>
  <c r="Q26" i="63"/>
  <c r="P26" i="63"/>
  <c r="O26" i="63"/>
  <c r="AD26" i="62"/>
  <c r="AC26" i="62"/>
  <c r="AB26" i="62"/>
  <c r="AA26" i="62"/>
  <c r="Z26" i="62"/>
  <c r="Y26" i="62"/>
  <c r="X26" i="62"/>
  <c r="U26" i="62"/>
  <c r="T26" i="62"/>
  <c r="S26" i="62"/>
  <c r="R26" i="62"/>
  <c r="Q26" i="62"/>
  <c r="P26" i="62"/>
  <c r="O26" i="62"/>
  <c r="AD26" i="61"/>
  <c r="AC26" i="61"/>
  <c r="AB26" i="61"/>
  <c r="AA26" i="61"/>
  <c r="Z26" i="61"/>
  <c r="Y26" i="61"/>
  <c r="X26" i="61"/>
  <c r="U26" i="61"/>
  <c r="T26" i="61"/>
  <c r="S26" i="61"/>
  <c r="R26" i="61"/>
  <c r="Q26" i="61"/>
  <c r="P26" i="61"/>
  <c r="O26" i="61"/>
  <c r="C2" i="61" l="1"/>
  <c r="C2" i="62"/>
  <c r="X25" i="62" s="1"/>
  <c r="C2" i="63"/>
  <c r="O25" i="63" s="1"/>
  <c r="X25" i="61" l="1"/>
  <c r="Y28" i="61" s="1"/>
  <c r="T31" i="63"/>
  <c r="O32" i="63"/>
  <c r="P32" i="63"/>
  <c r="Q32" i="63"/>
  <c r="R32" i="63"/>
  <c r="S32" i="63"/>
  <c r="T32" i="63"/>
  <c r="U32" i="63"/>
  <c r="AB29" i="62"/>
  <c r="AD31" i="62"/>
  <c r="X31" i="62"/>
  <c r="AC31" i="62"/>
  <c r="AB31" i="62"/>
  <c r="AA31" i="62"/>
  <c r="Z31" i="62"/>
  <c r="Y31" i="62"/>
  <c r="AB27" i="61"/>
  <c r="X31" i="61"/>
  <c r="O25" i="62"/>
  <c r="AA31" i="61"/>
  <c r="P27" i="63"/>
  <c r="C5" i="61"/>
  <c r="C4" i="61" s="1"/>
  <c r="Y27" i="62"/>
  <c r="Y31" i="61"/>
  <c r="X28" i="62"/>
  <c r="Y29" i="61"/>
  <c r="AC27" i="62"/>
  <c r="AB31" i="61"/>
  <c r="AA28" i="62"/>
  <c r="Q29" i="63"/>
  <c r="AB30" i="62"/>
  <c r="Z28" i="62"/>
  <c r="AC27" i="61"/>
  <c r="Z29" i="62"/>
  <c r="S28" i="63"/>
  <c r="AB28" i="62"/>
  <c r="P28" i="63"/>
  <c r="AD27" i="61"/>
  <c r="AA28" i="61"/>
  <c r="AB32" i="62"/>
  <c r="O29" i="63"/>
  <c r="AA30" i="61"/>
  <c r="Y27" i="61"/>
  <c r="AB27" i="62"/>
  <c r="Q28" i="63"/>
  <c r="S31" i="63"/>
  <c r="AB30" i="61"/>
  <c r="AD29" i="61"/>
  <c r="AA29" i="61"/>
  <c r="Y30" i="62"/>
  <c r="Q30" i="63"/>
  <c r="O28" i="63"/>
  <c r="T28" i="63"/>
  <c r="C5" i="63"/>
  <c r="C4" i="63" s="1"/>
  <c r="Q27" i="63"/>
  <c r="AD28" i="61"/>
  <c r="AB29" i="61"/>
  <c r="X29" i="62"/>
  <c r="AA29" i="62"/>
  <c r="S29" i="63"/>
  <c r="Z29" i="61"/>
  <c r="X29" i="61"/>
  <c r="AC29" i="61"/>
  <c r="AC30" i="61"/>
  <c r="X30" i="62"/>
  <c r="Y32" i="62"/>
  <c r="P29" i="63"/>
  <c r="O30" i="63"/>
  <c r="S30" i="63"/>
  <c r="Z31" i="61"/>
  <c r="AC28" i="61"/>
  <c r="Z28" i="61"/>
  <c r="Z32" i="62"/>
  <c r="AC28" i="62"/>
  <c r="C5" i="62"/>
  <c r="C4" i="62" s="1"/>
  <c r="R31" i="63"/>
  <c r="X30" i="61"/>
  <c r="AB28" i="61"/>
  <c r="X27" i="61"/>
  <c r="AA30" i="62"/>
  <c r="AA27" i="62"/>
  <c r="Y28" i="62"/>
  <c r="P30" i="63"/>
  <c r="AC31" i="61"/>
  <c r="Z30" i="61"/>
  <c r="AA27" i="61"/>
  <c r="AD30" i="61"/>
  <c r="AD31" i="61"/>
  <c r="Y29" i="62"/>
  <c r="AA32" i="62"/>
  <c r="AC29" i="62"/>
  <c r="X27" i="62"/>
  <c r="T27" i="63"/>
  <c r="O27" i="63"/>
  <c r="U29" i="63"/>
  <c r="X25" i="63"/>
  <c r="R29" i="63"/>
  <c r="AD27" i="62"/>
  <c r="Z30" i="62"/>
  <c r="AD29" i="62"/>
  <c r="X32" i="62"/>
  <c r="AC30" i="62"/>
  <c r="U28" i="63"/>
  <c r="R27" i="63"/>
  <c r="P31" i="63"/>
  <c r="U27" i="63"/>
  <c r="AD30" i="62"/>
  <c r="AD32" i="62"/>
  <c r="S27" i="63"/>
  <c r="U30" i="63"/>
  <c r="T29" i="63"/>
  <c r="U31" i="63"/>
  <c r="X28" i="61"/>
  <c r="Z27" i="61"/>
  <c r="Y30" i="61"/>
  <c r="O25" i="61"/>
  <c r="AC32" i="62"/>
  <c r="AD28" i="62"/>
  <c r="Z27" i="62"/>
  <c r="R30" i="63"/>
  <c r="O31" i="63"/>
  <c r="Q31" i="63"/>
  <c r="R28" i="63"/>
  <c r="T30" i="63"/>
  <c r="X32" i="61" l="1"/>
  <c r="Z32" i="61"/>
  <c r="Y32" i="61"/>
  <c r="AC32" i="61"/>
  <c r="AA32" i="61"/>
  <c r="AD32" i="61"/>
  <c r="AB32" i="61"/>
  <c r="P29" i="61"/>
  <c r="R32" i="61"/>
  <c r="O32" i="61"/>
  <c r="S32" i="61"/>
  <c r="T32" i="61"/>
  <c r="P32" i="61"/>
  <c r="U32" i="61"/>
  <c r="Q32" i="61"/>
  <c r="X28" i="63"/>
  <c r="Z32" i="63"/>
  <c r="AA32" i="63"/>
  <c r="AB32" i="63"/>
  <c r="AD32" i="63"/>
  <c r="AC32" i="63"/>
  <c r="X32" i="63"/>
  <c r="Y32" i="63"/>
  <c r="Q30" i="62"/>
  <c r="T31" i="62"/>
  <c r="S31" i="62"/>
  <c r="R31" i="62"/>
  <c r="Q31" i="62"/>
  <c r="P31" i="62"/>
  <c r="U31" i="62"/>
  <c r="O31" i="62"/>
  <c r="T29" i="62"/>
  <c r="O27" i="62"/>
  <c r="T28" i="62"/>
  <c r="S32" i="62"/>
  <c r="Q27" i="61"/>
  <c r="S31" i="61"/>
  <c r="O28" i="61"/>
  <c r="E5" i="61"/>
  <c r="G5" i="61" s="1"/>
  <c r="I5" i="61" s="1"/>
  <c r="R29" i="61"/>
  <c r="S28" i="61"/>
  <c r="Q29" i="61"/>
  <c r="R30" i="61"/>
  <c r="Q28" i="62"/>
  <c r="P32" i="62"/>
  <c r="P30" i="62"/>
  <c r="U27" i="62"/>
  <c r="T30" i="61"/>
  <c r="U29" i="61"/>
  <c r="R28" i="61"/>
  <c r="T31" i="61"/>
  <c r="S29" i="62"/>
  <c r="Q27" i="62"/>
  <c r="R32" i="62"/>
  <c r="Q29" i="62"/>
  <c r="O27" i="61"/>
  <c r="Q31" i="61"/>
  <c r="P31" i="61"/>
  <c r="U30" i="62"/>
  <c r="S28" i="62"/>
  <c r="O28" i="62"/>
  <c r="T27" i="62"/>
  <c r="S29" i="61"/>
  <c r="U31" i="61"/>
  <c r="S27" i="61"/>
  <c r="U32" i="62"/>
  <c r="O32" i="62"/>
  <c r="U29" i="62"/>
  <c r="S27" i="62"/>
  <c r="P29" i="62"/>
  <c r="U30" i="61"/>
  <c r="T28" i="61"/>
  <c r="U28" i="61"/>
  <c r="P28" i="62"/>
  <c r="S30" i="62"/>
  <c r="O30" i="62"/>
  <c r="U28" i="62"/>
  <c r="R30" i="62"/>
  <c r="O31" i="61"/>
  <c r="P30" i="61"/>
  <c r="O29" i="61"/>
  <c r="R29" i="62"/>
  <c r="P27" i="62"/>
  <c r="Q32" i="62"/>
  <c r="O29" i="62"/>
  <c r="T32" i="62"/>
  <c r="S30" i="61"/>
  <c r="R31" i="61"/>
  <c r="Q30" i="61"/>
  <c r="T30" i="62"/>
  <c r="R28" i="62"/>
  <c r="R27" i="62"/>
  <c r="Z27" i="63"/>
  <c r="Q28" i="61"/>
  <c r="O30" i="61"/>
  <c r="P27" i="61"/>
  <c r="T27" i="61"/>
  <c r="AB29" i="63"/>
  <c r="P28" i="61"/>
  <c r="U27" i="61"/>
  <c r="R27" i="61"/>
  <c r="T29" i="61"/>
  <c r="AC28" i="63"/>
  <c r="E5" i="63"/>
  <c r="E5" i="62"/>
  <c r="G5" i="62" s="1"/>
  <c r="I5" i="62" s="1"/>
  <c r="AB28" i="63"/>
  <c r="Y30" i="63"/>
  <c r="AC29" i="63"/>
  <c r="AD29" i="63"/>
  <c r="AA29" i="63"/>
  <c r="Y29" i="63"/>
  <c r="X30" i="63"/>
  <c r="Z28" i="63"/>
  <c r="AA30" i="63"/>
  <c r="Y28" i="63"/>
  <c r="AB27" i="63"/>
  <c r="AC31" i="63"/>
  <c r="AC30" i="63"/>
  <c r="AD28" i="63"/>
  <c r="AD27" i="63"/>
  <c r="Y27" i="63"/>
  <c r="X31" i="63"/>
  <c r="X29" i="63"/>
  <c r="Z29" i="63"/>
  <c r="AA28" i="63"/>
  <c r="AA27" i="63"/>
  <c r="Z30" i="63"/>
  <c r="AB30" i="63"/>
  <c r="Y31" i="63"/>
  <c r="X27" i="63"/>
  <c r="AD30" i="63"/>
  <c r="AC27" i="63"/>
  <c r="AD31" i="63"/>
  <c r="Z31" i="63"/>
  <c r="AA31" i="63"/>
  <c r="AB31" i="63"/>
  <c r="E4" i="61" l="1"/>
  <c r="G4" i="61"/>
  <c r="G4" i="62"/>
  <c r="E4" i="62"/>
  <c r="G5" i="63"/>
  <c r="E4" i="63"/>
  <c r="K5" i="62"/>
  <c r="I4" i="62"/>
  <c r="K5" i="61"/>
  <c r="I4" i="61"/>
  <c r="G4" i="63" l="1"/>
  <c r="I5" i="63"/>
  <c r="O5" i="62"/>
  <c r="K4" i="62"/>
  <c r="O5" i="61"/>
  <c r="K4" i="61"/>
  <c r="K5" i="63" l="1"/>
  <c r="I4" i="63"/>
  <c r="W5" i="62"/>
  <c r="O4" i="62"/>
  <c r="W5" i="61"/>
  <c r="O4" i="61"/>
  <c r="O5" i="63" l="1"/>
  <c r="K4" i="63"/>
  <c r="C7" i="62"/>
  <c r="E8" i="62" s="1"/>
  <c r="G8" i="62" s="1"/>
  <c r="I8" i="62" s="1"/>
  <c r="K8" i="62" s="1"/>
  <c r="O8" i="62" s="1"/>
  <c r="W8" i="62" s="1"/>
  <c r="C10" i="62" s="1"/>
  <c r="E11" i="62" s="1"/>
  <c r="G11" i="62" s="1"/>
  <c r="I11" i="62" s="1"/>
  <c r="K11" i="62" s="1"/>
  <c r="O11" i="62" s="1"/>
  <c r="W11" i="62" s="1"/>
  <c r="C13" i="62" s="1"/>
  <c r="E14" i="62" s="1"/>
  <c r="G14" i="62" s="1"/>
  <c r="I14" i="62" s="1"/>
  <c r="K14" i="62" s="1"/>
  <c r="O14" i="62" s="1"/>
  <c r="W14" i="62" s="1"/>
  <c r="C16" i="62" s="1"/>
  <c r="E17" i="62" s="1"/>
  <c r="G17" i="62" s="1"/>
  <c r="I17" i="62" s="1"/>
  <c r="K17" i="62" s="1"/>
  <c r="O17" i="62" s="1"/>
  <c r="W17" i="62" s="1"/>
  <c r="C19" i="62" s="1"/>
  <c r="E20" i="62" s="1"/>
  <c r="G20" i="62" s="1"/>
  <c r="I20" i="62" s="1"/>
  <c r="K20" i="62" s="1"/>
  <c r="O20" i="62" s="1"/>
  <c r="W20" i="62" s="1"/>
  <c r="W4" i="62"/>
  <c r="C7" i="61"/>
  <c r="E8" i="61" s="1"/>
  <c r="G8" i="61" s="1"/>
  <c r="I8" i="61" s="1"/>
  <c r="K8" i="61" s="1"/>
  <c r="O8" i="61" s="1"/>
  <c r="W8" i="61" s="1"/>
  <c r="C10" i="61" s="1"/>
  <c r="E11" i="61" s="1"/>
  <c r="G11" i="61" s="1"/>
  <c r="I11" i="61" s="1"/>
  <c r="K11" i="61" s="1"/>
  <c r="O11" i="61" s="1"/>
  <c r="W11" i="61" s="1"/>
  <c r="C13" i="61" s="1"/>
  <c r="E14" i="61" s="1"/>
  <c r="G14" i="61" s="1"/>
  <c r="I14" i="61" s="1"/>
  <c r="K14" i="61" s="1"/>
  <c r="O14" i="61" s="1"/>
  <c r="W14" i="61" s="1"/>
  <c r="C16" i="61" s="1"/>
  <c r="E17" i="61" s="1"/>
  <c r="G17" i="61" s="1"/>
  <c r="I17" i="61" s="1"/>
  <c r="K17" i="61" s="1"/>
  <c r="O17" i="61" s="1"/>
  <c r="W17" i="61" s="1"/>
  <c r="C19" i="61" s="1"/>
  <c r="E20" i="61" s="1"/>
  <c r="G20" i="61" s="1"/>
  <c r="I20" i="61" s="1"/>
  <c r="K20" i="61" s="1"/>
  <c r="O20" i="61" s="1"/>
  <c r="W20" i="61" s="1"/>
  <c r="W4" i="61"/>
  <c r="W5" i="63" l="1"/>
  <c r="O4" i="63"/>
  <c r="C7" i="63" l="1"/>
  <c r="E8" i="63" s="1"/>
  <c r="G8" i="63" s="1"/>
  <c r="I8" i="63" s="1"/>
  <c r="K8" i="63" s="1"/>
  <c r="O8" i="63" s="1"/>
  <c r="W8" i="63" s="1"/>
  <c r="C10" i="63" s="1"/>
  <c r="E11" i="63" s="1"/>
  <c r="G11" i="63" s="1"/>
  <c r="I11" i="63" s="1"/>
  <c r="K11" i="63" s="1"/>
  <c r="O11" i="63" s="1"/>
  <c r="W11" i="63" s="1"/>
  <c r="C13" i="63" s="1"/>
  <c r="E14" i="63" s="1"/>
  <c r="G14" i="63" s="1"/>
  <c r="I14" i="63" s="1"/>
  <c r="K14" i="63" s="1"/>
  <c r="O14" i="63" s="1"/>
  <c r="W14" i="63" s="1"/>
  <c r="C16" i="63" s="1"/>
  <c r="E17" i="63" s="1"/>
  <c r="G17" i="63" s="1"/>
  <c r="I17" i="63" s="1"/>
  <c r="K17" i="63" s="1"/>
  <c r="O17" i="63" s="1"/>
  <c r="W17" i="63" s="1"/>
  <c r="C19" i="63" s="1"/>
  <c r="E20" i="63" s="1"/>
  <c r="G20" i="63" s="1"/>
  <c r="I20" i="63" s="1"/>
  <c r="K20" i="63" s="1"/>
  <c r="O20" i="63" s="1"/>
  <c r="W20" i="63" s="1"/>
  <c r="W4" i="63"/>
</calcChain>
</file>

<file path=xl/sharedStrings.xml><?xml version="1.0" encoding="utf-8"?>
<sst xmlns="http://schemas.openxmlformats.org/spreadsheetml/2006/main" count="42" uniqueCount="35">
  <si>
    <t>Time Entry</t>
  </si>
  <si>
    <t>Year</t>
  </si>
  <si>
    <t>Start Day of Week</t>
  </si>
  <si>
    <t>Notes</t>
  </si>
  <si>
    <t>Pembuatan Kelompok Projek</t>
  </si>
  <si>
    <t>Penyusunan rancangan awal sistem (use case, ERD, dan arsitektur sistem)</t>
  </si>
  <si>
    <t>Pembuatan Database dan mencari referensi</t>
  </si>
  <si>
    <t>Pembuatan SRS awal dan Time Schedule</t>
  </si>
  <si>
    <t>Penentuan Topik dan Role Anggota Kelompok</t>
  </si>
  <si>
    <t>Presentasi Progres Kelompok</t>
  </si>
  <si>
    <t>Membuat Rancangan Prototype UI</t>
  </si>
  <si>
    <t>Mendesain wireframe halaman utama &amp; login</t>
  </si>
  <si>
    <t>Mendesain halaman produk &amp; detail produk</t>
  </si>
  <si>
    <t>Mendesain halaman checkout &amp; dashboard admin</t>
  </si>
  <si>
    <t>Mengimplementasikan desain UI dalam bentuk kode</t>
  </si>
  <si>
    <t>Pembuatan halaman login &amp; registrasi (frontend)</t>
  </si>
  <si>
    <t>Pembuatan halaman katalog produk (frontend)</t>
  </si>
  <si>
    <t>Pembuatan halaman detail produk &amp; keranjang</t>
  </si>
  <si>
    <t>Integrasi frontend dengan API produk dan login</t>
  </si>
  <si>
    <t>Membuat API login &amp; registrasi pengguna</t>
  </si>
  <si>
    <t>Membuat API CRUD produk</t>
  </si>
  <si>
    <t>Pengujian API dasar dan dokumentasi sementara</t>
  </si>
  <si>
    <t>Implementasi manajemen pesanan untuk penjual &amp; admin</t>
  </si>
  <si>
    <t>Implementasi laporan penjualan sederhana</t>
  </si>
  <si>
    <t>Pengujian sistem menyeluruh</t>
  </si>
  <si>
    <t>Revisi bug hasil testing &amp; penyempurnaan UI</t>
  </si>
  <si>
    <t>Review tampilan &amp; uji fungsional awal (Presentasi)</t>
  </si>
  <si>
    <t>Melakukan Pengujian Sistem tahap 2 setelah revisi</t>
  </si>
  <si>
    <t>Penulisan dokumentasi pengguna dan panduan admin</t>
  </si>
  <si>
    <t>Finalisasi laporan proyek dan revisi SRS</t>
  </si>
  <si>
    <t>Persiapan demo dan pembuatan slide presentasi</t>
  </si>
  <si>
    <t>Latihan presentasi</t>
  </si>
  <si>
    <t>Uji demo Internal</t>
  </si>
  <si>
    <t>Final demo proyek “Haritani”</t>
  </si>
  <si>
    <t>SI Layanan Penjualan Sayuran "Haritani"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</si>
</sst>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"/>
    <numFmt numFmtId="166" formatCode="mmmm\ \'yy"/>
    <numFmt numFmtId="167" formatCode="mmmm\ yyyy"/>
    <numFmt numFmtId="168" formatCode="dddd"/>
  </numFmts>
  <fonts count="31" x14ac:knownFonts="1">
    <font>
      <sz val="10"/>
      <name val="Arial"/>
      <family val="2"/>
    </font>
    <font>
      <sz val="11"/>
      <color theme="1"/>
      <name val="Seaford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Seaford"/>
      <scheme val="minor"/>
    </font>
    <font>
      <sz val="12"/>
      <name val="Seaford"/>
      <scheme val="minor"/>
    </font>
    <font>
      <b/>
      <sz val="36"/>
      <color theme="0"/>
      <name val="Seaford"/>
      <scheme val="minor"/>
    </font>
    <font>
      <b/>
      <sz val="48"/>
      <color theme="8"/>
      <name val="Seaford"/>
      <scheme val="minor"/>
    </font>
    <font>
      <sz val="12"/>
      <color theme="2" tint="-0.89999084444715716"/>
      <name val="Seaford"/>
      <scheme val="minor"/>
    </font>
    <font>
      <b/>
      <sz val="12"/>
      <name val="Seaford"/>
      <scheme val="minor"/>
    </font>
    <font>
      <b/>
      <sz val="12"/>
      <color theme="4" tint="-0.249977111117893"/>
      <name val="Seaford"/>
      <scheme val="minor"/>
    </font>
    <font>
      <sz val="10"/>
      <color theme="2" tint="-0.89999084444715716"/>
      <name val="Seaford"/>
      <scheme val="minor"/>
    </font>
    <font>
      <b/>
      <sz val="12"/>
      <color theme="0"/>
      <name val="Seaford"/>
      <scheme val="minor"/>
    </font>
    <font>
      <sz val="8"/>
      <name val="Seaford"/>
      <scheme val="minor"/>
    </font>
    <font>
      <sz val="7"/>
      <name val="Seaford"/>
      <scheme val="minor"/>
    </font>
    <font>
      <b/>
      <sz val="48"/>
      <color theme="4" tint="-0.249977111117893"/>
      <name val="Seaford"/>
      <scheme val="minor"/>
    </font>
    <font>
      <sz val="14"/>
      <name val="Seaford"/>
      <scheme val="minor"/>
    </font>
    <font>
      <b/>
      <sz val="14"/>
      <color theme="1" tint="0.34998626667073579"/>
      <name val="Seaford"/>
      <scheme val="minor"/>
    </font>
    <font>
      <b/>
      <sz val="14"/>
      <color theme="1" tint="0.499984740745262"/>
      <name val="Seaford"/>
      <scheme val="minor"/>
    </font>
    <font>
      <u/>
      <sz val="11"/>
      <color theme="1" tint="0.34998626667073579"/>
      <name val="Seaford"/>
      <scheme val="minor"/>
    </font>
    <font>
      <u/>
      <sz val="11"/>
      <color theme="1" tint="0.499984740745262"/>
      <name val="Seaford"/>
      <scheme val="minor"/>
    </font>
    <font>
      <sz val="10"/>
      <color theme="1" tint="0.34998626667073579"/>
      <name val="Seaford"/>
      <scheme val="minor"/>
    </font>
    <font>
      <b/>
      <sz val="24"/>
      <color theme="8"/>
      <name val="Seaford"/>
      <scheme val="minor"/>
    </font>
    <font>
      <b/>
      <sz val="10"/>
      <color theme="0"/>
      <name val="Seaford"/>
      <scheme val="minor"/>
    </font>
    <font>
      <b/>
      <sz val="8"/>
      <name val="Seaford"/>
      <scheme val="minor"/>
    </font>
    <font>
      <b/>
      <sz val="10"/>
      <color theme="0" tint="-0.499984740745262"/>
      <name val="Seaford"/>
      <scheme val="minor"/>
    </font>
    <font>
      <sz val="8"/>
      <color theme="8"/>
      <name val="Seaford"/>
      <scheme val="minor"/>
    </font>
    <font>
      <b/>
      <sz val="36"/>
      <color theme="0"/>
      <name val="Seaford"/>
      <scheme val="major"/>
    </font>
    <font>
      <b/>
      <sz val="24"/>
      <color theme="0"/>
      <name val="Seaford"/>
      <scheme val="major"/>
    </font>
    <font>
      <b/>
      <sz val="48"/>
      <color theme="8"/>
      <name val="Seaford"/>
      <scheme val="major"/>
    </font>
    <font>
      <sz val="11"/>
      <color theme="2" tint="-0.89999084444715716"/>
      <name val="Seaford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1" fillId="0" borderId="0"/>
  </cellStyleXfs>
  <cellXfs count="115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/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left" vertical="center"/>
    </xf>
    <xf numFmtId="0" fontId="11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0" borderId="0" xfId="0" applyFont="1" applyAlignment="1">
      <alignment horizontal="right"/>
    </xf>
    <xf numFmtId="0" fontId="13" fillId="3" borderId="0" xfId="0" applyFont="1" applyFill="1"/>
    <xf numFmtId="0" fontId="13" fillId="0" borderId="0" xfId="0" applyFont="1"/>
    <xf numFmtId="0" fontId="14" fillId="3" borderId="0" xfId="0" applyFont="1" applyFill="1"/>
    <xf numFmtId="0" fontId="14" fillId="0" borderId="0" xfId="0" applyFont="1"/>
    <xf numFmtId="167" fontId="7" fillId="0" borderId="0" xfId="0" applyNumberFormat="1" applyFont="1"/>
    <xf numFmtId="167" fontId="15" fillId="0" borderId="0" xfId="0" applyNumberFormat="1" applyFont="1" applyAlignment="1">
      <alignment horizontal="left" vertical="top"/>
    </xf>
    <xf numFmtId="0" fontId="16" fillId="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168" fontId="12" fillId="4" borderId="0" xfId="0" applyNumberFormat="1" applyFont="1" applyFill="1" applyAlignment="1">
      <alignment horizontal="left" vertical="center" indent="1" shrinkToFit="1"/>
    </xf>
    <xf numFmtId="0" fontId="17" fillId="3" borderId="0" xfId="2" applyNumberFormat="1" applyFont="1" applyFill="1" applyAlignment="1">
      <alignment horizontal="left"/>
    </xf>
    <xf numFmtId="0" fontId="18" fillId="0" borderId="0" xfId="2" applyNumberFormat="1" applyFont="1" applyFill="1" applyAlignment="1">
      <alignment horizontal="left"/>
    </xf>
    <xf numFmtId="0" fontId="19" fillId="3" borderId="0" xfId="1" applyFont="1" applyFill="1" applyAlignment="1" applyProtection="1">
      <alignment horizontal="left"/>
    </xf>
    <xf numFmtId="0" fontId="20" fillId="0" borderId="0" xfId="1" applyFont="1" applyAlignment="1" applyProtection="1">
      <alignment horizontal="left"/>
    </xf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8" fillId="2" borderId="6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2" borderId="8" xfId="0" applyFont="1" applyFill="1" applyBorder="1" applyAlignment="1">
      <alignment horizontal="left" vertical="center" indent="1"/>
    </xf>
    <xf numFmtId="0" fontId="8" fillId="2" borderId="9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0" fontId="13" fillId="2" borderId="0" xfId="0" applyFont="1" applyFill="1" applyAlignment="1">
      <alignment horizontal="center" vertical="center"/>
    </xf>
    <xf numFmtId="0" fontId="13" fillId="2" borderId="0" xfId="1" applyFont="1" applyFill="1" applyBorder="1" applyAlignment="1" applyProtection="1">
      <alignment horizontal="left" vertical="center"/>
    </xf>
    <xf numFmtId="0" fontId="13" fillId="2" borderId="0" xfId="1" applyFont="1" applyFill="1" applyBorder="1" applyAlignment="1" applyProtection="1">
      <alignment vertical="center"/>
    </xf>
    <xf numFmtId="0" fontId="21" fillId="2" borderId="0" xfId="1" applyFont="1" applyFill="1" applyBorder="1" applyAlignment="1" applyProtection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13" fillId="3" borderId="0" xfId="1" applyFont="1" applyFill="1" applyBorder="1" applyAlignment="1" applyProtection="1">
      <alignment horizontal="left" vertical="center"/>
    </xf>
    <xf numFmtId="0" fontId="13" fillId="3" borderId="0" xfId="1" applyFont="1" applyFill="1" applyBorder="1" applyAlignment="1" applyProtection="1">
      <alignment vertical="center"/>
    </xf>
    <xf numFmtId="0" fontId="21" fillId="3" borderId="0" xfId="1" applyFont="1" applyFill="1" applyBorder="1" applyAlignment="1" applyProtection="1">
      <alignment horizontal="right" vertical="center"/>
    </xf>
    <xf numFmtId="0" fontId="22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24" fillId="3" borderId="0" xfId="0" applyFont="1" applyFill="1" applyAlignment="1">
      <alignment horizontal="left" shrinkToFit="1"/>
    </xf>
    <xf numFmtId="0" fontId="25" fillId="0" borderId="0" xfId="0" applyFont="1" applyAlignment="1">
      <alignment horizontal="left"/>
    </xf>
    <xf numFmtId="165" fontId="26" fillId="0" borderId="0" xfId="0" applyNumberFormat="1" applyFont="1" applyAlignment="1">
      <alignment horizontal="left" vertical="center" shrinkToFit="1"/>
    </xf>
    <xf numFmtId="165" fontId="13" fillId="0" borderId="0" xfId="0" applyNumberFormat="1" applyFont="1" applyAlignment="1">
      <alignment horizontal="left" vertical="center" shrinkToFi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7" fillId="4" borderId="0" xfId="0" applyFont="1" applyFill="1" applyAlignment="1">
      <alignment vertical="center"/>
    </xf>
    <xf numFmtId="165" fontId="8" fillId="2" borderId="3" xfId="0" applyNumberFormat="1" applyFont="1" applyFill="1" applyBorder="1" applyAlignment="1">
      <alignment horizontal="left" indent="1" shrinkToFi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4" fillId="0" borderId="2" xfId="0" applyFont="1" applyBorder="1" applyAlignment="1">
      <alignment horizontal="left" indent="1"/>
    </xf>
    <xf numFmtId="165" fontId="8" fillId="5" borderId="3" xfId="0" applyNumberFormat="1" applyFont="1" applyFill="1" applyBorder="1" applyAlignment="1">
      <alignment horizontal="left" indent="1" shrinkToFit="1"/>
    </xf>
    <xf numFmtId="0" fontId="8" fillId="5" borderId="1" xfId="0" applyFont="1" applyFill="1" applyBorder="1" applyAlignment="1">
      <alignment horizontal="left" vertical="center" indent="1"/>
    </xf>
    <xf numFmtId="0" fontId="8" fillId="5" borderId="3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165" fontId="8" fillId="5" borderId="3" xfId="0" applyNumberFormat="1" applyFont="1" applyFill="1" applyBorder="1" applyAlignment="1">
      <alignment horizontal="left" vertical="center" indent="1" shrinkToFit="1"/>
    </xf>
    <xf numFmtId="0" fontId="28" fillId="4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left" vertical="center" indent="1"/>
    </xf>
    <xf numFmtId="0" fontId="8" fillId="2" borderId="5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167" fontId="29" fillId="0" borderId="0" xfId="0" applyNumberFormat="1" applyFont="1" applyAlignment="1">
      <alignment horizontal="left"/>
    </xf>
    <xf numFmtId="168" fontId="12" fillId="4" borderId="0" xfId="0" applyNumberFormat="1" applyFont="1" applyFill="1" applyAlignment="1">
      <alignment horizontal="left" vertical="center" indent="1" shrinkToFit="1"/>
    </xf>
    <xf numFmtId="165" fontId="8" fillId="5" borderId="1" xfId="0" applyNumberFormat="1" applyFont="1" applyFill="1" applyBorder="1" applyAlignment="1">
      <alignment horizontal="left" indent="1" shrinkToFit="1"/>
    </xf>
    <xf numFmtId="165" fontId="8" fillId="5" borderId="0" xfId="0" applyNumberFormat="1" applyFont="1" applyFill="1" applyAlignment="1">
      <alignment horizontal="left" indent="1" shrinkToFit="1"/>
    </xf>
    <xf numFmtId="165" fontId="8" fillId="5" borderId="3" xfId="0" applyNumberFormat="1" applyFont="1" applyFill="1" applyBorder="1" applyAlignment="1">
      <alignment horizontal="left" indent="1" shrinkToFit="1"/>
    </xf>
    <xf numFmtId="0" fontId="8" fillId="5" borderId="4" xfId="0" applyFont="1" applyFill="1" applyBorder="1" applyAlignment="1">
      <alignment horizontal="left" vertical="center" indent="1"/>
    </xf>
    <xf numFmtId="0" fontId="8" fillId="5" borderId="6" xfId="0" applyFont="1" applyFill="1" applyBorder="1" applyAlignment="1">
      <alignment horizontal="left" vertical="center" indent="1"/>
    </xf>
    <xf numFmtId="0" fontId="8" fillId="5" borderId="5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8" fillId="5" borderId="3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165" fontId="8" fillId="5" borderId="1" xfId="0" applyNumberFormat="1" applyFont="1" applyFill="1" applyBorder="1" applyAlignment="1">
      <alignment horizontal="left" vertical="center" indent="1" shrinkToFit="1"/>
    </xf>
    <xf numFmtId="165" fontId="8" fillId="5" borderId="3" xfId="0" applyNumberFormat="1" applyFont="1" applyFill="1" applyBorder="1" applyAlignment="1">
      <alignment horizontal="left" vertical="center" indent="1" shrinkToFit="1"/>
    </xf>
    <xf numFmtId="165" fontId="8" fillId="5" borderId="0" xfId="0" applyNumberFormat="1" applyFont="1" applyFill="1" applyAlignment="1">
      <alignment horizontal="left" vertical="center" indent="1" shrinkToFit="1"/>
    </xf>
    <xf numFmtId="165" fontId="8" fillId="2" borderId="1" xfId="0" applyNumberFormat="1" applyFont="1" applyFill="1" applyBorder="1" applyAlignment="1">
      <alignment horizontal="left" vertical="center" indent="1" shrinkToFit="1"/>
    </xf>
    <xf numFmtId="165" fontId="8" fillId="2" borderId="0" xfId="0" applyNumberFormat="1" applyFont="1" applyFill="1" applyAlignment="1">
      <alignment horizontal="left" vertical="center" indent="1" shrinkToFi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0" fontId="8" fillId="2" borderId="4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  <xf numFmtId="165" fontId="8" fillId="2" borderId="1" xfId="0" applyNumberFormat="1" applyFont="1" applyFill="1" applyBorder="1" applyAlignment="1">
      <alignment horizontal="left" indent="1" shrinkToFit="1"/>
    </xf>
    <xf numFmtId="165" fontId="8" fillId="2" borderId="3" xfId="0" applyNumberFormat="1" applyFont="1" applyFill="1" applyBorder="1" applyAlignment="1">
      <alignment horizontal="left" indent="1" shrinkToFit="1"/>
    </xf>
    <xf numFmtId="0" fontId="4" fillId="0" borderId="2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22" fillId="0" borderId="0" xfId="0" applyFont="1" applyAlignment="1">
      <alignment horizontal="left" vertical="top"/>
    </xf>
    <xf numFmtId="166" fontId="23" fillId="4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left" vertical="center" wrapText="1" indent="1"/>
    </xf>
    <xf numFmtId="0" fontId="30" fillId="2" borderId="6" xfId="0" applyFont="1" applyFill="1" applyBorder="1" applyAlignment="1">
      <alignment horizontal="left" vertical="center" wrapText="1" indent="1"/>
    </xf>
    <xf numFmtId="165" fontId="8" fillId="2" borderId="0" xfId="0" applyNumberFormat="1" applyFont="1" applyFill="1" applyAlignment="1">
      <alignment horizontal="left" indent="1" shrinkToFit="1"/>
    </xf>
    <xf numFmtId="0" fontId="8" fillId="2" borderId="1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</cellXfs>
  <cellStyles count="4">
    <cellStyle name="Comma" xfId="2" builtinId="3"/>
    <cellStyle name="Hyperlink" xfId="1" builtinId="8" customBuiltin="1"/>
    <cellStyle name="Normal" xfId="0" builtinId="0" customBuiltin="1"/>
    <cellStyle name="Normal 2" xfId="3" xr:uid="{00000000-0005-0000-0000-000003000000}"/>
  </cellStyles>
  <dxfs count="12"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3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BA47-785D-431D-A298-3F8FCC93CECA}">
  <sheetPr>
    <pageSetUpPr fitToPage="1"/>
  </sheetPr>
  <dimension ref="A1:R15"/>
  <sheetViews>
    <sheetView showGridLines="0" tabSelected="1" zoomScale="58" workbookViewId="0">
      <selection activeCell="N16" sqref="N16"/>
    </sheetView>
  </sheetViews>
  <sheetFormatPr defaultColWidth="8.7265625" defaultRowHeight="15.5" x14ac:dyDescent="0.35"/>
  <cols>
    <col min="1" max="4" width="5.54296875" style="3" customWidth="1"/>
    <col min="5" max="9" width="10.54296875" style="3" customWidth="1"/>
    <col min="10" max="11" width="10.54296875" style="28" customWidth="1"/>
    <col min="12" max="14" width="5.54296875" style="3" customWidth="1"/>
    <col min="15" max="15" width="25.54296875" style="3" customWidth="1"/>
    <col min="16" max="16" width="10.54296875" style="3" customWidth="1"/>
    <col min="17" max="18" width="5.54296875" style="3" customWidth="1"/>
    <col min="19" max="16384" width="8.7265625" style="3"/>
  </cols>
  <sheetData>
    <row r="1" spans="1:18" ht="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</row>
    <row r="2" spans="1:18" s="7" customFormat="1" ht="75" customHeight="1" x14ac:dyDescent="0.25">
      <c r="A2" s="4"/>
      <c r="B2" s="5"/>
      <c r="C2" s="67" t="s">
        <v>34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</row>
    <row r="3" spans="1:18" ht="25" customHeight="1" x14ac:dyDescent="1.35">
      <c r="A3" s="1"/>
      <c r="B3" s="1"/>
      <c r="C3" s="8"/>
      <c r="D3" s="8"/>
      <c r="E3" s="1"/>
      <c r="F3" s="1"/>
      <c r="G3" s="1"/>
      <c r="H3" s="1"/>
      <c r="I3" s="1"/>
      <c r="J3" s="9"/>
      <c r="K3" s="9"/>
      <c r="L3" s="10"/>
      <c r="M3" s="1"/>
      <c r="N3" s="1"/>
      <c r="O3" s="1"/>
      <c r="P3" s="1"/>
      <c r="Q3" s="1"/>
      <c r="R3" s="1"/>
    </row>
    <row r="4" spans="1:18" ht="30" customHeight="1" x14ac:dyDescent="0.35">
      <c r="A4" s="1"/>
      <c r="B4" s="11"/>
      <c r="C4" s="11"/>
      <c r="D4" s="11"/>
      <c r="E4" s="11"/>
      <c r="F4" s="11"/>
      <c r="G4" s="11"/>
      <c r="H4" s="11"/>
      <c r="I4" s="11"/>
      <c r="J4" s="12"/>
      <c r="K4" s="12"/>
      <c r="L4" s="11"/>
      <c r="M4" s="1"/>
      <c r="N4" s="77" t="s">
        <v>0</v>
      </c>
      <c r="O4" s="77"/>
      <c r="P4" s="77"/>
      <c r="Q4" s="77"/>
      <c r="R4" s="1"/>
    </row>
    <row r="5" spans="1:18" ht="30" customHeight="1" x14ac:dyDescent="0.3">
      <c r="A5" s="1"/>
      <c r="B5" s="11"/>
      <c r="C5" s="13"/>
      <c r="D5" s="13"/>
      <c r="E5" s="14"/>
      <c r="F5" s="14"/>
      <c r="G5" s="14"/>
      <c r="H5" s="14"/>
      <c r="I5" s="14"/>
      <c r="J5" s="14"/>
      <c r="K5" s="15"/>
      <c r="L5" s="16"/>
      <c r="M5" s="4"/>
      <c r="N5" s="77"/>
      <c r="O5" s="77"/>
      <c r="P5" s="77"/>
      <c r="Q5" s="77"/>
      <c r="R5" s="1"/>
    </row>
    <row r="6" spans="1:18" ht="30" customHeight="1" x14ac:dyDescent="0.3">
      <c r="A6" s="1"/>
      <c r="B6" s="11"/>
      <c r="C6" s="17"/>
      <c r="D6" s="18"/>
      <c r="E6" s="19"/>
      <c r="F6" s="19"/>
      <c r="G6" s="19"/>
      <c r="H6" s="19"/>
      <c r="I6" s="19"/>
      <c r="J6" s="20"/>
      <c r="K6" s="20"/>
      <c r="L6" s="19"/>
      <c r="M6" s="4"/>
      <c r="N6" s="77"/>
      <c r="O6" s="77"/>
      <c r="P6" s="77"/>
      <c r="Q6" s="77"/>
      <c r="R6" s="1"/>
    </row>
    <row r="7" spans="1:18" ht="30" customHeight="1" x14ac:dyDescent="0.3">
      <c r="A7" s="1"/>
      <c r="B7" s="11"/>
      <c r="C7" s="13"/>
      <c r="D7" s="13"/>
      <c r="E7" s="14"/>
      <c r="F7" s="14"/>
      <c r="G7" s="14"/>
      <c r="H7" s="14"/>
      <c r="I7" s="14"/>
      <c r="J7" s="14"/>
      <c r="K7" s="15"/>
      <c r="L7" s="19"/>
      <c r="M7" s="1"/>
      <c r="N7" s="11"/>
      <c r="O7" s="11"/>
      <c r="P7" s="11"/>
      <c r="Q7" s="11"/>
      <c r="R7" s="1"/>
    </row>
    <row r="8" spans="1:18" ht="30" customHeight="1" x14ac:dyDescent="0.3">
      <c r="A8" s="1"/>
      <c r="B8" s="11"/>
      <c r="C8" s="17"/>
      <c r="D8" s="18"/>
      <c r="E8" s="19"/>
      <c r="F8" s="19"/>
      <c r="G8" s="19"/>
      <c r="H8" s="19"/>
      <c r="I8" s="19"/>
      <c r="J8" s="20"/>
      <c r="K8" s="20"/>
      <c r="L8" s="19"/>
      <c r="M8" s="4"/>
      <c r="N8" s="21"/>
      <c r="O8" s="22" t="s">
        <v>1</v>
      </c>
      <c r="P8" s="23">
        <f ca="1">IF(MONTH(TODAY())=12,YEAR(TODAY())+1,YEAR(TODAY()))</f>
        <v>2025</v>
      </c>
      <c r="R8" s="1"/>
    </row>
    <row r="9" spans="1:18" ht="30" customHeight="1" x14ac:dyDescent="0.3">
      <c r="A9" s="1"/>
      <c r="B9" s="11"/>
      <c r="C9" s="13"/>
      <c r="D9" s="13"/>
      <c r="E9" s="14"/>
      <c r="F9" s="14"/>
      <c r="G9" s="14"/>
      <c r="H9" s="14"/>
      <c r="I9" s="14"/>
      <c r="J9" s="14"/>
      <c r="K9" s="15"/>
      <c r="L9" s="19"/>
      <c r="M9" s="4"/>
      <c r="N9" s="11"/>
      <c r="O9" s="11"/>
      <c r="P9" s="11"/>
      <c r="Q9" s="11"/>
      <c r="R9" s="1"/>
    </row>
    <row r="10" spans="1:18" ht="30" customHeight="1" x14ac:dyDescent="0.3">
      <c r="A10" s="1"/>
      <c r="B10" s="11"/>
      <c r="C10" s="24"/>
      <c r="D10" s="25"/>
      <c r="E10" s="14"/>
      <c r="F10" s="14"/>
      <c r="G10" s="14"/>
      <c r="H10" s="14"/>
      <c r="I10" s="14"/>
      <c r="J10" s="14"/>
      <c r="K10" s="15"/>
      <c r="L10" s="19"/>
      <c r="M10" s="4"/>
      <c r="N10" s="11"/>
      <c r="O10" s="22" t="s">
        <v>2</v>
      </c>
      <c r="P10" s="23">
        <v>1</v>
      </c>
      <c r="Q10" s="18"/>
      <c r="R10" s="1"/>
    </row>
    <row r="11" spans="1:18" ht="30" customHeight="1" x14ac:dyDescent="0.3">
      <c r="A11" s="1"/>
      <c r="B11" s="11"/>
      <c r="C11" s="24"/>
      <c r="D11" s="25"/>
      <c r="E11" s="26"/>
      <c r="F11" s="26"/>
      <c r="G11" s="26"/>
      <c r="H11" s="26"/>
      <c r="I11" s="26"/>
      <c r="J11" s="20"/>
      <c r="K11" s="20"/>
      <c r="L11" s="19"/>
      <c r="M11" s="4"/>
      <c r="N11" s="18"/>
      <c r="O11" s="18"/>
      <c r="P11" s="18"/>
      <c r="Q11" s="18"/>
      <c r="R11" s="1"/>
    </row>
    <row r="12" spans="1:18" ht="30" customHeight="1" x14ac:dyDescent="0.3">
      <c r="A12" s="1"/>
      <c r="B12" s="11"/>
      <c r="C12" s="13"/>
      <c r="D12" s="13"/>
      <c r="E12" s="14"/>
      <c r="F12" s="14"/>
      <c r="G12" s="14"/>
      <c r="H12" s="14"/>
      <c r="I12" s="14"/>
      <c r="J12" s="14"/>
      <c r="K12" s="15"/>
      <c r="L12" s="19"/>
      <c r="M12" s="4"/>
      <c r="N12" s="18"/>
      <c r="O12" s="18"/>
      <c r="P12" s="18"/>
      <c r="Q12" s="18"/>
      <c r="R12" s="1"/>
    </row>
    <row r="13" spans="1:18" ht="30" customHeight="1" x14ac:dyDescent="0.3">
      <c r="A13" s="1"/>
      <c r="B13" s="11"/>
      <c r="C13" s="25"/>
      <c r="D13" s="25"/>
      <c r="E13" s="14"/>
      <c r="F13" s="14"/>
      <c r="G13" s="14"/>
      <c r="H13" s="14"/>
      <c r="I13" s="14"/>
      <c r="J13" s="14"/>
      <c r="K13" s="15"/>
      <c r="L13" s="19"/>
      <c r="M13" s="4"/>
      <c r="N13" s="18"/>
      <c r="O13" s="18"/>
      <c r="P13" s="18"/>
      <c r="Q13" s="18"/>
      <c r="R13" s="1"/>
    </row>
    <row r="14" spans="1:18" ht="30" customHeight="1" x14ac:dyDescent="0.3">
      <c r="A14" s="1"/>
      <c r="B14" s="11"/>
      <c r="C14" s="18"/>
      <c r="D14" s="18"/>
      <c r="E14" s="18"/>
      <c r="F14" s="18"/>
      <c r="G14" s="18"/>
      <c r="H14" s="18"/>
      <c r="I14" s="18"/>
      <c r="J14" s="27"/>
      <c r="K14" s="27"/>
      <c r="L14" s="18"/>
      <c r="M14" s="4"/>
      <c r="N14" s="18"/>
      <c r="O14" s="18"/>
      <c r="P14" s="18"/>
      <c r="Q14" s="18"/>
      <c r="R14" s="1"/>
    </row>
    <row r="15" spans="1:18" ht="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  <c r="Q15" s="1"/>
      <c r="R15" s="1"/>
    </row>
  </sheetData>
  <mergeCells count="1">
    <mergeCell ref="N4:Q6"/>
  </mergeCells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77C1-BC85-475A-97F1-3502F214FA84}">
  <sheetPr>
    <pageSetUpPr fitToPage="1"/>
  </sheetPr>
  <dimension ref="A1:AP34"/>
  <sheetViews>
    <sheetView showGridLines="0" topLeftCell="G7" zoomScale="64" zoomScaleNormal="100" workbookViewId="0">
      <selection activeCell="O18" sqref="O18:V18"/>
    </sheetView>
  </sheetViews>
  <sheetFormatPr defaultColWidth="8.7265625" defaultRowHeight="13" x14ac:dyDescent="0.3"/>
  <cols>
    <col min="1" max="3" width="5.54296875" style="3" customWidth="1"/>
    <col min="4" max="4" width="15.54296875" style="3" customWidth="1"/>
    <col min="5" max="5" width="5.54296875" style="3" customWidth="1"/>
    <col min="6" max="6" width="15.54296875" style="3" customWidth="1"/>
    <col min="7" max="7" width="5.54296875" style="3" customWidth="1"/>
    <col min="8" max="8" width="15.54296875" style="3" customWidth="1"/>
    <col min="9" max="9" width="5.54296875" style="3" customWidth="1"/>
    <col min="10" max="10" width="15.54296875" style="3" customWidth="1"/>
    <col min="11" max="14" width="5.54296875" style="3" customWidth="1"/>
    <col min="15" max="30" width="2.54296875" style="3" customWidth="1"/>
    <col min="31" max="32" width="5.54296875" style="3" customWidth="1"/>
    <col min="33" max="33" width="17.1796875" style="3" customWidth="1"/>
    <col min="34" max="34" width="10.453125" style="3" customWidth="1"/>
    <col min="35" max="16384" width="8.7265625" style="3"/>
  </cols>
  <sheetData>
    <row r="1" spans="1:36" ht="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1.35">
      <c r="A2" s="29"/>
      <c r="C2" s="81">
        <f ca="1">DATE(About!P8,10,1)</f>
        <v>45931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F2" s="29"/>
    </row>
    <row r="3" spans="1:36" s="32" customFormat="1" ht="25" customHeight="1" x14ac:dyDescent="1.35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4">
      <c r="A4" s="35"/>
      <c r="C4" s="82">
        <f ca="1">C5</f>
        <v>45928</v>
      </c>
      <c r="D4" s="82"/>
      <c r="E4" s="82">
        <f ca="1">E5</f>
        <v>45929</v>
      </c>
      <c r="F4" s="82"/>
      <c r="G4" s="82">
        <f ca="1">G5</f>
        <v>45930</v>
      </c>
      <c r="H4" s="82"/>
      <c r="I4" s="82">
        <f ca="1">I5</f>
        <v>45931</v>
      </c>
      <c r="J4" s="82"/>
      <c r="K4" s="82">
        <f ca="1">K5</f>
        <v>45932</v>
      </c>
      <c r="L4" s="82"/>
      <c r="M4" s="82"/>
      <c r="N4" s="37"/>
      <c r="O4" s="82">
        <f ca="1">O5</f>
        <v>45933</v>
      </c>
      <c r="P4" s="82"/>
      <c r="Q4" s="82"/>
      <c r="R4" s="82"/>
      <c r="S4" s="82"/>
      <c r="T4" s="82"/>
      <c r="U4" s="82"/>
      <c r="V4" s="82"/>
      <c r="W4" s="82">
        <f ca="1">W5</f>
        <v>45934</v>
      </c>
      <c r="X4" s="82"/>
      <c r="Y4" s="82"/>
      <c r="Z4" s="82"/>
      <c r="AA4" s="82"/>
      <c r="AB4" s="82"/>
      <c r="AC4" s="82"/>
      <c r="AD4" s="82"/>
      <c r="AF4" s="38"/>
      <c r="AG4" s="39"/>
      <c r="AH4" s="39"/>
      <c r="AI4" s="39"/>
      <c r="AJ4" s="39"/>
    </row>
    <row r="5" spans="1:36" ht="25" customHeight="1" x14ac:dyDescent="0.35">
      <c r="A5" s="1"/>
      <c r="C5" s="83">
        <f ca="1">$C$2-(WEEKDAY($C$2,1)-(start_day-1))-IF((WEEKDAY($C$2,1)-(start_day-1))&lt;=0,7,0)+1</f>
        <v>45928</v>
      </c>
      <c r="D5" s="85"/>
      <c r="E5" s="83">
        <f ca="1">C5+1</f>
        <v>45929</v>
      </c>
      <c r="F5" s="85"/>
      <c r="G5" s="83">
        <f ca="1">E5+1</f>
        <v>45930</v>
      </c>
      <c r="H5" s="85"/>
      <c r="I5" s="83">
        <f ca="1">G5+1</f>
        <v>45931</v>
      </c>
      <c r="J5" s="85"/>
      <c r="K5" s="83">
        <f ca="1">I5+1</f>
        <v>45932</v>
      </c>
      <c r="L5" s="84"/>
      <c r="M5" s="84"/>
      <c r="N5" s="72"/>
      <c r="O5" s="83">
        <f ca="1">K5+1</f>
        <v>45933</v>
      </c>
      <c r="P5" s="84"/>
      <c r="Q5" s="84"/>
      <c r="R5" s="84"/>
      <c r="S5" s="84"/>
      <c r="T5" s="84"/>
      <c r="U5" s="84"/>
      <c r="V5" s="85"/>
      <c r="W5" s="83">
        <f ca="1">O5+1</f>
        <v>45934</v>
      </c>
      <c r="X5" s="84"/>
      <c r="Y5" s="84"/>
      <c r="Z5" s="84"/>
      <c r="AA5" s="84"/>
      <c r="AB5" s="84"/>
      <c r="AC5" s="84"/>
      <c r="AD5" s="85"/>
      <c r="AF5" s="40"/>
      <c r="AG5" s="41"/>
      <c r="AH5" s="41"/>
      <c r="AI5" s="41"/>
      <c r="AJ5" s="41"/>
    </row>
    <row r="6" spans="1:36" s="43" customFormat="1" ht="75" customHeight="1" x14ac:dyDescent="0.25">
      <c r="A6" s="42"/>
      <c r="C6" s="86"/>
      <c r="D6" s="87"/>
      <c r="E6" s="86"/>
      <c r="F6" s="87"/>
      <c r="G6" s="86"/>
      <c r="H6" s="87"/>
      <c r="I6" s="86"/>
      <c r="J6" s="87"/>
      <c r="K6" s="86"/>
      <c r="L6" s="88"/>
      <c r="M6" s="88"/>
      <c r="N6" s="87"/>
      <c r="O6" s="86"/>
      <c r="P6" s="88"/>
      <c r="Q6" s="88"/>
      <c r="R6" s="88"/>
      <c r="S6" s="88"/>
      <c r="T6" s="88"/>
      <c r="U6" s="88"/>
      <c r="V6" s="87"/>
      <c r="W6" s="86"/>
      <c r="X6" s="88"/>
      <c r="Y6" s="88"/>
      <c r="Z6" s="88"/>
      <c r="AA6" s="88"/>
      <c r="AB6" s="88"/>
      <c r="AC6" s="88"/>
      <c r="AD6" s="87"/>
      <c r="AE6" s="7"/>
      <c r="AF6" s="42"/>
    </row>
    <row r="7" spans="1:36" ht="10" customHeight="1" x14ac:dyDescent="0.3">
      <c r="A7" s="1"/>
      <c r="C7" s="83">
        <f ca="1">W5+1</f>
        <v>45935</v>
      </c>
      <c r="D7" s="85"/>
      <c r="E7" s="89"/>
      <c r="F7" s="90"/>
      <c r="G7" s="89"/>
      <c r="H7" s="90"/>
      <c r="I7" s="89"/>
      <c r="J7" s="90"/>
      <c r="K7" s="89"/>
      <c r="L7" s="91"/>
      <c r="M7" s="91"/>
      <c r="N7" s="74"/>
      <c r="O7" s="89"/>
      <c r="P7" s="91"/>
      <c r="Q7" s="91"/>
      <c r="R7" s="91"/>
      <c r="S7" s="91"/>
      <c r="T7" s="91"/>
      <c r="U7" s="91"/>
      <c r="V7" s="90"/>
      <c r="W7" s="89"/>
      <c r="X7" s="91"/>
      <c r="Y7" s="91"/>
      <c r="Z7" s="91"/>
      <c r="AA7" s="91"/>
      <c r="AB7" s="91"/>
      <c r="AC7" s="91"/>
      <c r="AD7" s="90"/>
      <c r="AF7" s="1"/>
    </row>
    <row r="8" spans="1:36" s="7" customFormat="1" ht="15" customHeight="1" x14ac:dyDescent="0.25">
      <c r="A8" s="4"/>
      <c r="C8" s="83"/>
      <c r="D8" s="85"/>
      <c r="E8" s="92">
        <f ca="1">C7+1</f>
        <v>45936</v>
      </c>
      <c r="F8" s="93"/>
      <c r="G8" s="92">
        <f ca="1">E8+1</f>
        <v>45937</v>
      </c>
      <c r="H8" s="93"/>
      <c r="I8" s="92">
        <f ca="1">G8+1</f>
        <v>45938</v>
      </c>
      <c r="J8" s="93"/>
      <c r="K8" s="92">
        <f ca="1">I8+1</f>
        <v>45939</v>
      </c>
      <c r="L8" s="94"/>
      <c r="M8" s="94"/>
      <c r="N8" s="76"/>
      <c r="O8" s="92">
        <f ca="1">K8+1</f>
        <v>45940</v>
      </c>
      <c r="P8" s="94"/>
      <c r="Q8" s="94"/>
      <c r="R8" s="94"/>
      <c r="S8" s="94"/>
      <c r="T8" s="94"/>
      <c r="U8" s="94"/>
      <c r="V8" s="93"/>
      <c r="W8" s="92">
        <f ca="1">O8+1</f>
        <v>45941</v>
      </c>
      <c r="X8" s="94"/>
      <c r="Y8" s="94"/>
      <c r="Z8" s="94"/>
      <c r="AA8" s="94"/>
      <c r="AB8" s="94"/>
      <c r="AC8" s="94"/>
      <c r="AD8" s="93"/>
      <c r="AF8" s="4"/>
    </row>
    <row r="9" spans="1:36" s="43" customFormat="1" ht="75" customHeight="1" x14ac:dyDescent="0.25">
      <c r="A9" s="42"/>
      <c r="C9" s="86"/>
      <c r="D9" s="87"/>
      <c r="E9" s="86"/>
      <c r="F9" s="87"/>
      <c r="G9" s="86"/>
      <c r="H9" s="87"/>
      <c r="I9" s="86"/>
      <c r="J9" s="87"/>
      <c r="K9" s="86"/>
      <c r="L9" s="88"/>
      <c r="M9" s="88"/>
      <c r="N9" s="87"/>
      <c r="O9" s="86"/>
      <c r="P9" s="88"/>
      <c r="Q9" s="88"/>
      <c r="R9" s="88"/>
      <c r="S9" s="88"/>
      <c r="T9" s="88"/>
      <c r="U9" s="88"/>
      <c r="V9" s="87"/>
      <c r="W9" s="86"/>
      <c r="X9" s="88"/>
      <c r="Y9" s="88"/>
      <c r="Z9" s="88"/>
      <c r="AA9" s="88"/>
      <c r="AB9" s="88"/>
      <c r="AC9" s="88"/>
      <c r="AD9" s="87"/>
      <c r="AE9" s="7"/>
      <c r="AF9" s="42"/>
    </row>
    <row r="10" spans="1:36" s="43" customFormat="1" ht="10" customHeight="1" x14ac:dyDescent="0.25">
      <c r="A10" s="42"/>
      <c r="C10" s="83">
        <f ca="1">W8+1</f>
        <v>45942</v>
      </c>
      <c r="D10" s="85"/>
      <c r="E10" s="73"/>
      <c r="F10" s="74"/>
      <c r="G10" s="73"/>
      <c r="H10" s="74"/>
      <c r="I10" s="73"/>
      <c r="J10" s="74"/>
      <c r="K10" s="73"/>
      <c r="L10" s="75"/>
      <c r="M10" s="75"/>
      <c r="N10" s="74"/>
      <c r="O10" s="73"/>
      <c r="P10" s="75"/>
      <c r="Q10" s="75"/>
      <c r="R10" s="75"/>
      <c r="S10" s="75"/>
      <c r="T10" s="75"/>
      <c r="U10" s="75"/>
      <c r="V10" s="74"/>
      <c r="W10" s="73"/>
      <c r="X10" s="75"/>
      <c r="Y10" s="75"/>
      <c r="Z10" s="75"/>
      <c r="AA10" s="75"/>
      <c r="AB10" s="75"/>
      <c r="AC10" s="75"/>
      <c r="AD10" s="74"/>
      <c r="AE10" s="7"/>
      <c r="AF10" s="42"/>
    </row>
    <row r="11" spans="1:36" s="7" customFormat="1" ht="15" customHeight="1" x14ac:dyDescent="0.3">
      <c r="A11" s="4"/>
      <c r="C11" s="83"/>
      <c r="D11" s="85"/>
      <c r="E11" s="92">
        <f ca="1">C10+1</f>
        <v>45943</v>
      </c>
      <c r="F11" s="93"/>
      <c r="G11" s="92">
        <f ca="1">E11+1</f>
        <v>45944</v>
      </c>
      <c r="H11" s="93"/>
      <c r="I11" s="92">
        <f ca="1">G11+1</f>
        <v>45945</v>
      </c>
      <c r="J11" s="93"/>
      <c r="K11" s="92">
        <f ca="1">I11+1</f>
        <v>45946</v>
      </c>
      <c r="L11" s="94"/>
      <c r="M11" s="94"/>
      <c r="N11" s="76"/>
      <c r="O11" s="92">
        <f ca="1">K11+1</f>
        <v>45947</v>
      </c>
      <c r="P11" s="94"/>
      <c r="Q11" s="94"/>
      <c r="R11" s="94"/>
      <c r="S11" s="94"/>
      <c r="T11" s="94"/>
      <c r="U11" s="94"/>
      <c r="V11" s="93"/>
      <c r="W11" s="92">
        <f ca="1">O11+1</f>
        <v>45948</v>
      </c>
      <c r="X11" s="94"/>
      <c r="Y11" s="94"/>
      <c r="Z11" s="94"/>
      <c r="AA11" s="94"/>
      <c r="AB11" s="94"/>
      <c r="AC11" s="94"/>
      <c r="AD11" s="93"/>
      <c r="AF11" s="4"/>
      <c r="AJ11" s="3"/>
    </row>
    <row r="12" spans="1:36" s="43" customFormat="1" ht="75" customHeight="1" x14ac:dyDescent="0.25">
      <c r="A12" s="42"/>
      <c r="C12" s="86"/>
      <c r="D12" s="87"/>
      <c r="E12" s="86"/>
      <c r="F12" s="87"/>
      <c r="G12" s="86"/>
      <c r="H12" s="87"/>
      <c r="I12" s="86"/>
      <c r="J12" s="87"/>
      <c r="K12" s="86"/>
      <c r="L12" s="88"/>
      <c r="M12" s="88"/>
      <c r="N12" s="87"/>
      <c r="O12" s="86"/>
      <c r="P12" s="88"/>
      <c r="Q12" s="88"/>
      <c r="R12" s="88"/>
      <c r="S12" s="88"/>
      <c r="T12" s="88"/>
      <c r="U12" s="88"/>
      <c r="V12" s="87"/>
      <c r="W12" s="86"/>
      <c r="X12" s="88"/>
      <c r="Y12" s="88"/>
      <c r="Z12" s="88"/>
      <c r="AA12" s="88"/>
      <c r="AB12" s="88"/>
      <c r="AC12" s="88"/>
      <c r="AD12" s="87"/>
      <c r="AE12" s="7"/>
      <c r="AF12" s="42"/>
    </row>
    <row r="13" spans="1:36" s="43" customFormat="1" ht="10" customHeight="1" x14ac:dyDescent="0.25">
      <c r="A13" s="42"/>
      <c r="C13" s="83">
        <f ca="1">W11+1</f>
        <v>45949</v>
      </c>
      <c r="D13" s="85"/>
      <c r="E13" s="73"/>
      <c r="F13" s="74"/>
      <c r="G13" s="73"/>
      <c r="H13" s="74"/>
      <c r="I13" s="73"/>
      <c r="J13" s="74"/>
      <c r="K13" s="45"/>
      <c r="L13" s="70"/>
      <c r="M13" s="70"/>
      <c r="N13" s="69"/>
      <c r="O13" s="45"/>
      <c r="P13" s="70"/>
      <c r="Q13" s="70"/>
      <c r="R13" s="70"/>
      <c r="S13" s="70"/>
      <c r="T13" s="70"/>
      <c r="U13" s="70"/>
      <c r="V13" s="69"/>
      <c r="W13" s="45"/>
      <c r="X13" s="70"/>
      <c r="Y13" s="70"/>
      <c r="Z13" s="70"/>
      <c r="AA13" s="70"/>
      <c r="AB13" s="70"/>
      <c r="AC13" s="70"/>
      <c r="AD13" s="69"/>
      <c r="AE13" s="7"/>
      <c r="AF13" s="42"/>
    </row>
    <row r="14" spans="1:36" s="7" customFormat="1" ht="15" customHeight="1" x14ac:dyDescent="0.25">
      <c r="A14" s="4"/>
      <c r="C14" s="83"/>
      <c r="D14" s="85"/>
      <c r="E14" s="92">
        <f ca="1">C13+1</f>
        <v>45950</v>
      </c>
      <c r="F14" s="93"/>
      <c r="G14" s="92">
        <f ca="1">E14+1</f>
        <v>45951</v>
      </c>
      <c r="H14" s="93"/>
      <c r="I14" s="92">
        <f ca="1">G14+1</f>
        <v>45952</v>
      </c>
      <c r="J14" s="93"/>
      <c r="K14" s="95">
        <f ca="1">I14+1</f>
        <v>45953</v>
      </c>
      <c r="L14" s="96"/>
      <c r="M14" s="96"/>
      <c r="N14" s="49"/>
      <c r="O14" s="95">
        <f ca="1">K14+1</f>
        <v>45954</v>
      </c>
      <c r="P14" s="96"/>
      <c r="Q14" s="96"/>
      <c r="R14" s="96"/>
      <c r="S14" s="96"/>
      <c r="T14" s="96"/>
      <c r="U14" s="96"/>
      <c r="V14" s="97"/>
      <c r="W14" s="95">
        <f ca="1">O14+1</f>
        <v>45955</v>
      </c>
      <c r="X14" s="96"/>
      <c r="Y14" s="96"/>
      <c r="Z14" s="96"/>
      <c r="AA14" s="96"/>
      <c r="AB14" s="96"/>
      <c r="AC14" s="96"/>
      <c r="AD14" s="97"/>
      <c r="AF14" s="4"/>
    </row>
    <row r="15" spans="1:36" s="43" customFormat="1" ht="75" customHeight="1" x14ac:dyDescent="0.25">
      <c r="A15" s="42"/>
      <c r="C15" s="86"/>
      <c r="D15" s="87"/>
      <c r="E15" s="86"/>
      <c r="F15" s="87"/>
      <c r="G15" s="86"/>
      <c r="H15" s="87"/>
      <c r="I15" s="86"/>
      <c r="J15" s="87"/>
      <c r="K15" s="98" t="s">
        <v>4</v>
      </c>
      <c r="L15" s="99"/>
      <c r="M15" s="99"/>
      <c r="N15" s="100"/>
      <c r="O15" s="98" t="s">
        <v>8</v>
      </c>
      <c r="P15" s="99"/>
      <c r="Q15" s="99"/>
      <c r="R15" s="99"/>
      <c r="S15" s="99"/>
      <c r="T15" s="99"/>
      <c r="U15" s="99"/>
      <c r="V15" s="100"/>
      <c r="W15" s="98" t="s">
        <v>7</v>
      </c>
      <c r="X15" s="99"/>
      <c r="Y15" s="99"/>
      <c r="Z15" s="99"/>
      <c r="AA15" s="99"/>
      <c r="AB15" s="99"/>
      <c r="AC15" s="99"/>
      <c r="AD15" s="100"/>
      <c r="AE15" s="7"/>
      <c r="AF15" s="42"/>
    </row>
    <row r="16" spans="1:36" s="43" customFormat="1" ht="10" customHeight="1" x14ac:dyDescent="0.25">
      <c r="A16" s="42"/>
      <c r="C16" s="101">
        <f ca="1">W14+1</f>
        <v>45956</v>
      </c>
      <c r="D16" s="102"/>
      <c r="E16" s="45"/>
      <c r="F16" s="69"/>
      <c r="G16" s="45"/>
      <c r="H16" s="69"/>
      <c r="I16" s="46"/>
      <c r="J16" s="47"/>
      <c r="K16" s="46"/>
      <c r="L16" s="48"/>
      <c r="M16" s="48"/>
      <c r="N16" s="47"/>
      <c r="O16" s="46"/>
      <c r="P16" s="48"/>
      <c r="Q16" s="48"/>
      <c r="R16" s="48"/>
      <c r="S16" s="48"/>
      <c r="T16" s="48"/>
      <c r="U16" s="48"/>
      <c r="V16" s="47"/>
      <c r="W16" s="45"/>
      <c r="X16" s="70"/>
      <c r="Y16" s="70"/>
      <c r="Z16" s="70"/>
      <c r="AA16" s="70"/>
      <c r="AB16" s="70"/>
      <c r="AC16" s="70"/>
      <c r="AD16" s="69"/>
      <c r="AE16" s="7"/>
      <c r="AF16" s="42"/>
    </row>
    <row r="17" spans="1:42" s="7" customFormat="1" ht="15" customHeight="1" x14ac:dyDescent="0.25">
      <c r="A17" s="4"/>
      <c r="C17" s="101"/>
      <c r="D17" s="102"/>
      <c r="E17" s="95">
        <f ca="1">C16+1</f>
        <v>45957</v>
      </c>
      <c r="F17" s="97"/>
      <c r="G17" s="95">
        <f ca="1">E17+1</f>
        <v>45958</v>
      </c>
      <c r="H17" s="97"/>
      <c r="I17" s="95">
        <f ca="1">G17+1</f>
        <v>45959</v>
      </c>
      <c r="J17" s="97"/>
      <c r="K17" s="95">
        <f ca="1">I17+1</f>
        <v>45960</v>
      </c>
      <c r="L17" s="96"/>
      <c r="M17" s="96"/>
      <c r="N17" s="49"/>
      <c r="O17" s="95">
        <f ca="1">K17+1</f>
        <v>45961</v>
      </c>
      <c r="P17" s="96"/>
      <c r="Q17" s="96"/>
      <c r="R17" s="96"/>
      <c r="S17" s="96"/>
      <c r="T17" s="96"/>
      <c r="U17" s="96"/>
      <c r="V17" s="97"/>
      <c r="W17" s="95">
        <f ca="1">O17+1</f>
        <v>45962</v>
      </c>
      <c r="X17" s="96"/>
      <c r="Y17" s="96"/>
      <c r="Z17" s="96"/>
      <c r="AA17" s="96"/>
      <c r="AB17" s="96"/>
      <c r="AC17" s="96"/>
      <c r="AD17" s="97"/>
      <c r="AF17" s="4"/>
    </row>
    <row r="18" spans="1:42" s="43" customFormat="1" ht="75" customHeight="1" x14ac:dyDescent="0.3">
      <c r="A18" s="42"/>
      <c r="C18" s="98" t="s">
        <v>7</v>
      </c>
      <c r="D18" s="100"/>
      <c r="E18" s="107" t="s">
        <v>5</v>
      </c>
      <c r="F18" s="108"/>
      <c r="G18" s="107" t="s">
        <v>5</v>
      </c>
      <c r="H18" s="108"/>
      <c r="I18" s="98" t="s">
        <v>6</v>
      </c>
      <c r="J18" s="100"/>
      <c r="K18" s="98" t="s">
        <v>9</v>
      </c>
      <c r="L18" s="99"/>
      <c r="M18" s="99"/>
      <c r="N18" s="44"/>
      <c r="O18" s="98" t="s">
        <v>10</v>
      </c>
      <c r="P18" s="99"/>
      <c r="Q18" s="99"/>
      <c r="R18" s="99"/>
      <c r="S18" s="99"/>
      <c r="T18" s="99"/>
      <c r="U18" s="99"/>
      <c r="V18" s="100"/>
      <c r="W18" s="78"/>
      <c r="X18" s="79"/>
      <c r="Y18" s="79"/>
      <c r="Z18" s="79"/>
      <c r="AA18" s="79"/>
      <c r="AB18" s="79"/>
      <c r="AC18" s="79"/>
      <c r="AD18" s="80"/>
      <c r="AE18" s="7"/>
      <c r="AF18" s="42"/>
      <c r="AP18" s="3"/>
    </row>
    <row r="19" spans="1:42" s="43" customFormat="1" ht="10" customHeight="1" x14ac:dyDescent="0.25">
      <c r="A19" s="42"/>
      <c r="C19" s="101">
        <f ca="1">W17+1</f>
        <v>45963</v>
      </c>
      <c r="D19" s="102"/>
      <c r="E19" s="45"/>
      <c r="F19" s="69"/>
      <c r="G19" s="45"/>
      <c r="H19" s="69"/>
      <c r="I19" s="46"/>
      <c r="J19" s="47"/>
      <c r="K19" s="46"/>
      <c r="L19" s="48"/>
      <c r="M19" s="48"/>
      <c r="N19" s="47"/>
      <c r="O19" s="46"/>
      <c r="P19" s="48"/>
      <c r="Q19" s="48"/>
      <c r="R19" s="48"/>
      <c r="S19" s="48"/>
      <c r="T19" s="48"/>
      <c r="U19" s="48"/>
      <c r="V19" s="47"/>
      <c r="W19" s="45"/>
      <c r="X19" s="70"/>
      <c r="Y19" s="70"/>
      <c r="Z19" s="70"/>
      <c r="AA19" s="70"/>
      <c r="AB19" s="70"/>
      <c r="AC19" s="70"/>
      <c r="AD19" s="69"/>
      <c r="AE19" s="7"/>
      <c r="AF19" s="42"/>
    </row>
    <row r="20" spans="1:42" s="7" customFormat="1" ht="15" customHeight="1" x14ac:dyDescent="0.25">
      <c r="A20" s="4"/>
      <c r="C20" s="101"/>
      <c r="D20" s="102"/>
      <c r="E20" s="95">
        <f ca="1">C19+1</f>
        <v>45964</v>
      </c>
      <c r="F20" s="97"/>
      <c r="G20" s="95">
        <f ca="1">E20+1</f>
        <v>45965</v>
      </c>
      <c r="H20" s="97"/>
      <c r="I20" s="95">
        <f ca="1">G20+1</f>
        <v>45966</v>
      </c>
      <c r="J20" s="97"/>
      <c r="K20" s="95">
        <f ca="1">I20+1</f>
        <v>45967</v>
      </c>
      <c r="L20" s="96"/>
      <c r="M20" s="96"/>
      <c r="N20" s="49"/>
      <c r="O20" s="95">
        <f ca="1">K20+1</f>
        <v>45968</v>
      </c>
      <c r="P20" s="96"/>
      <c r="Q20" s="96"/>
      <c r="R20" s="96"/>
      <c r="S20" s="96"/>
      <c r="T20" s="96"/>
      <c r="U20" s="96"/>
      <c r="V20" s="97"/>
      <c r="W20" s="95">
        <f ca="1">O20+1</f>
        <v>45969</v>
      </c>
      <c r="X20" s="96"/>
      <c r="Y20" s="96"/>
      <c r="Z20" s="96"/>
      <c r="AA20" s="96"/>
      <c r="AB20" s="96"/>
      <c r="AC20" s="96"/>
      <c r="AD20" s="97"/>
      <c r="AF20" s="4"/>
    </row>
    <row r="21" spans="1:42" s="43" customFormat="1" ht="75" customHeight="1" x14ac:dyDescent="0.3">
      <c r="A21" s="42"/>
      <c r="C21" s="78"/>
      <c r="D21" s="80"/>
      <c r="E21" s="78"/>
      <c r="F21" s="80"/>
      <c r="G21" s="78"/>
      <c r="H21" s="80"/>
      <c r="I21" s="78"/>
      <c r="J21" s="80"/>
      <c r="K21" s="78"/>
      <c r="L21" s="79"/>
      <c r="M21" s="79"/>
      <c r="N21" s="44"/>
      <c r="O21" s="78"/>
      <c r="P21" s="79"/>
      <c r="Q21" s="79"/>
      <c r="R21" s="79"/>
      <c r="S21" s="79"/>
      <c r="T21" s="79"/>
      <c r="U21" s="79"/>
      <c r="V21" s="80"/>
      <c r="W21" s="78"/>
      <c r="X21" s="79"/>
      <c r="Y21" s="79"/>
      <c r="Z21" s="79"/>
      <c r="AA21" s="79"/>
      <c r="AB21" s="79"/>
      <c r="AC21" s="79"/>
      <c r="AD21" s="80"/>
      <c r="AE21" s="7"/>
      <c r="AF21" s="42"/>
      <c r="AP21" s="3"/>
    </row>
    <row r="22" spans="1:42" s="7" customFormat="1" ht="25" customHeight="1" x14ac:dyDescent="0.25">
      <c r="A22" s="4"/>
      <c r="C22" s="50"/>
      <c r="D22" s="50"/>
      <c r="E22" s="50"/>
      <c r="F22" s="50"/>
      <c r="G22" s="51"/>
      <c r="H22" s="52"/>
      <c r="I22" s="52"/>
      <c r="J22" s="52"/>
      <c r="K22" s="52"/>
      <c r="L22" s="52"/>
      <c r="M22" s="52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F22" s="4"/>
    </row>
    <row r="23" spans="1:42" s="7" customFormat="1" ht="25" customHeight="1" x14ac:dyDescent="0.25">
      <c r="A23" s="4"/>
      <c r="B23" s="4"/>
      <c r="C23" s="54"/>
      <c r="D23" s="54"/>
      <c r="E23" s="54"/>
      <c r="F23" s="54"/>
      <c r="G23" s="55"/>
      <c r="H23" s="56"/>
      <c r="I23" s="56"/>
      <c r="J23" s="56"/>
      <c r="K23" s="56"/>
      <c r="L23" s="56"/>
      <c r="M23" s="56"/>
      <c r="N23" s="5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4"/>
      <c r="AF23" s="4"/>
    </row>
    <row r="24" spans="1:42" ht="25" customHeight="1" x14ac:dyDescent="0.3">
      <c r="A24" s="1"/>
      <c r="M24" s="1"/>
      <c r="AF24" s="1"/>
    </row>
    <row r="25" spans="1:42" ht="20.149999999999999" customHeight="1" x14ac:dyDescent="0.3">
      <c r="A25" s="1"/>
      <c r="C25" s="105" t="s">
        <v>3</v>
      </c>
      <c r="D25" s="105"/>
      <c r="E25" s="105"/>
      <c r="F25" s="105"/>
      <c r="G25" s="105"/>
      <c r="H25" s="105"/>
      <c r="I25" s="105"/>
      <c r="J25" s="105"/>
      <c r="K25" s="105"/>
      <c r="L25" s="58"/>
      <c r="M25" s="1"/>
      <c r="O25" s="106">
        <f ca="1">DATE(YEAR(C2),MONTH(C2)-1,1)</f>
        <v>45901</v>
      </c>
      <c r="P25" s="106"/>
      <c r="Q25" s="106"/>
      <c r="R25" s="106"/>
      <c r="S25" s="106"/>
      <c r="T25" s="106"/>
      <c r="U25" s="106"/>
      <c r="V25" s="59"/>
      <c r="W25" s="59"/>
      <c r="X25" s="106">
        <f ca="1">DATE(YEAR(C2),MONTH(C2)+1,1)</f>
        <v>45962</v>
      </c>
      <c r="Y25" s="106"/>
      <c r="Z25" s="106"/>
      <c r="AA25" s="106"/>
      <c r="AB25" s="106"/>
      <c r="AC25" s="106"/>
      <c r="AD25" s="106"/>
      <c r="AF25" s="1"/>
    </row>
    <row r="26" spans="1:42" ht="15" customHeight="1" x14ac:dyDescent="0.3">
      <c r="A26" s="1"/>
      <c r="C26" s="105"/>
      <c r="D26" s="105"/>
      <c r="E26" s="105"/>
      <c r="F26" s="105"/>
      <c r="G26" s="105"/>
      <c r="H26" s="105"/>
      <c r="I26" s="105"/>
      <c r="J26" s="105"/>
      <c r="K26" s="105"/>
      <c r="L26" s="58"/>
      <c r="M26" s="1"/>
      <c r="O26" s="60" t="str">
        <f>INDEX({"S";"M";"T";"W";"T";"F";"S"},1+MOD(start_day+1-2,7))</f>
        <v>S</v>
      </c>
      <c r="P26" s="60" t="str">
        <f>INDEX({"S";"M";"T";"W";"T";"F";"S"},1+MOD(start_day+2-2,7))</f>
        <v>M</v>
      </c>
      <c r="Q26" s="60" t="str">
        <f>INDEX({"S";"M";"T";"W";"T";"F";"S"},1+MOD(start_day+3-2,7))</f>
        <v>T</v>
      </c>
      <c r="R26" s="60" t="str">
        <f>INDEX({"S";"M";"T";"W";"T";"F";"S"},1+MOD(start_day+4-2,7))</f>
        <v>W</v>
      </c>
      <c r="S26" s="60" t="str">
        <f>INDEX({"S";"M";"T";"W";"T";"F";"S"},1+MOD(start_day+5-2,7))</f>
        <v>T</v>
      </c>
      <c r="T26" s="60" t="str">
        <f>INDEX({"S";"M";"T";"W";"T";"F";"S"},1+MOD(start_day+6-2,7))</f>
        <v>F</v>
      </c>
      <c r="U26" s="60" t="str">
        <f>INDEX({"S";"M";"T";"W";"T";"F";"S"},1+MOD(start_day+7-2,7))</f>
        <v>S</v>
      </c>
      <c r="V26" s="61"/>
      <c r="W26" s="61"/>
      <c r="X26" s="60" t="str">
        <f>INDEX({"S";"M";"T";"W";"T";"F";"S"},1+MOD(start_day+1-2,7))</f>
        <v>S</v>
      </c>
      <c r="Y26" s="60" t="str">
        <f>INDEX({"S";"M";"T";"W";"T";"F";"S"},1+MOD(start_day+2-2,7))</f>
        <v>M</v>
      </c>
      <c r="Z26" s="60" t="str">
        <f>INDEX({"S";"M";"T";"W";"T";"F";"S"},1+MOD(start_day+3-2,7))</f>
        <v>T</v>
      </c>
      <c r="AA26" s="60" t="str">
        <f>INDEX({"S";"M";"T";"W";"T";"F";"S"},1+MOD(start_day+4-2,7))</f>
        <v>W</v>
      </c>
      <c r="AB26" s="60" t="str">
        <f>INDEX({"S";"M";"T";"W";"T";"F";"S"},1+MOD(start_day+5-2,7))</f>
        <v>T</v>
      </c>
      <c r="AC26" s="60" t="str">
        <f>INDEX({"S";"M";"T";"W";"T";"F";"S"},1+MOD(start_day+6-2,7))</f>
        <v>F</v>
      </c>
      <c r="AD26" s="60" t="str">
        <f>INDEX({"S";"M";"T";"W";"T";"F";"S"},1+MOD(start_day+7-2,7))</f>
        <v>S</v>
      </c>
      <c r="AF26" s="1"/>
    </row>
    <row r="27" spans="1:42" ht="15" customHeight="1" x14ac:dyDescent="0.3">
      <c r="A27" s="1"/>
      <c r="C27" s="104"/>
      <c r="D27" s="104"/>
      <c r="E27" s="104"/>
      <c r="F27" s="104"/>
      <c r="G27" s="104"/>
      <c r="H27" s="104"/>
      <c r="I27" s="104"/>
      <c r="J27" s="104"/>
      <c r="K27" s="104"/>
      <c r="M27" s="1"/>
      <c r="O27" s="62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3">
        <f t="shared" ca="1" si="0"/>
        <v>45901</v>
      </c>
      <c r="Q27" s="63">
        <f t="shared" ca="1" si="0"/>
        <v>45902</v>
      </c>
      <c r="R27" s="63">
        <f t="shared" ca="1" si="0"/>
        <v>45903</v>
      </c>
      <c r="S27" s="63">
        <f t="shared" ca="1" si="0"/>
        <v>45904</v>
      </c>
      <c r="T27" s="63">
        <f t="shared" ca="1" si="0"/>
        <v>45905</v>
      </c>
      <c r="U27" s="62">
        <f t="shared" ca="1" si="0"/>
        <v>45906</v>
      </c>
      <c r="V27" s="59"/>
      <c r="W27" s="59"/>
      <c r="X27" s="63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3" t="str">
        <f t="shared" ca="1" si="1"/>
        <v/>
      </c>
      <c r="Z27" s="63" t="str">
        <f t="shared" ca="1" si="1"/>
        <v/>
      </c>
      <c r="AA27" s="63" t="str">
        <f t="shared" ca="1" si="1"/>
        <v/>
      </c>
      <c r="AB27" s="63" t="str">
        <f t="shared" ca="1" si="1"/>
        <v/>
      </c>
      <c r="AC27" s="63" t="str">
        <f t="shared" ca="1" si="1"/>
        <v/>
      </c>
      <c r="AD27" s="62">
        <f t="shared" ca="1" si="1"/>
        <v>45962</v>
      </c>
      <c r="AF27" s="1"/>
    </row>
    <row r="28" spans="1:42" ht="15" customHeight="1" x14ac:dyDescent="0.3">
      <c r="A28" s="1"/>
      <c r="C28" s="103"/>
      <c r="D28" s="103"/>
      <c r="E28" s="103"/>
      <c r="F28" s="103"/>
      <c r="G28" s="103"/>
      <c r="H28" s="103"/>
      <c r="I28" s="103"/>
      <c r="J28" s="103"/>
      <c r="K28" s="103"/>
      <c r="M28" s="1"/>
      <c r="O28" s="62">
        <f t="shared" ca="1" si="0"/>
        <v>45907</v>
      </c>
      <c r="P28" s="63">
        <f t="shared" ca="1" si="0"/>
        <v>45908</v>
      </c>
      <c r="Q28" s="63">
        <f t="shared" ca="1" si="0"/>
        <v>45909</v>
      </c>
      <c r="R28" s="63">
        <f t="shared" ca="1" si="0"/>
        <v>45910</v>
      </c>
      <c r="S28" s="63">
        <f t="shared" ca="1" si="0"/>
        <v>45911</v>
      </c>
      <c r="T28" s="63">
        <f t="shared" ca="1" si="0"/>
        <v>45912</v>
      </c>
      <c r="U28" s="62">
        <f t="shared" ca="1" si="0"/>
        <v>45913</v>
      </c>
      <c r="V28" s="59"/>
      <c r="W28" s="59"/>
      <c r="X28" s="62">
        <f t="shared" ca="1" si="1"/>
        <v>45963</v>
      </c>
      <c r="Y28" s="63">
        <f t="shared" ca="1" si="1"/>
        <v>45964</v>
      </c>
      <c r="Z28" s="63">
        <f t="shared" ca="1" si="1"/>
        <v>45965</v>
      </c>
      <c r="AA28" s="63">
        <f t="shared" ca="1" si="1"/>
        <v>45966</v>
      </c>
      <c r="AB28" s="63">
        <f t="shared" ca="1" si="1"/>
        <v>45967</v>
      </c>
      <c r="AC28" s="63">
        <f t="shared" ca="1" si="1"/>
        <v>45968</v>
      </c>
      <c r="AD28" s="62">
        <f t="shared" ca="1" si="1"/>
        <v>45969</v>
      </c>
      <c r="AF28" s="1"/>
    </row>
    <row r="29" spans="1:42" ht="15" customHeight="1" x14ac:dyDescent="0.3">
      <c r="A29" s="1"/>
      <c r="C29" s="104"/>
      <c r="D29" s="104"/>
      <c r="E29" s="104"/>
      <c r="F29" s="104"/>
      <c r="G29" s="104"/>
      <c r="H29" s="104"/>
      <c r="I29" s="104"/>
      <c r="J29" s="104"/>
      <c r="K29" s="104"/>
      <c r="M29" s="1"/>
      <c r="O29" s="62">
        <f t="shared" ca="1" si="0"/>
        <v>45914</v>
      </c>
      <c r="P29" s="63">
        <f t="shared" ca="1" si="0"/>
        <v>45915</v>
      </c>
      <c r="Q29" s="63">
        <f t="shared" ca="1" si="0"/>
        <v>45916</v>
      </c>
      <c r="R29" s="63">
        <f t="shared" ca="1" si="0"/>
        <v>45917</v>
      </c>
      <c r="S29" s="63">
        <f t="shared" ca="1" si="0"/>
        <v>45918</v>
      </c>
      <c r="T29" s="63">
        <f t="shared" ca="1" si="0"/>
        <v>45919</v>
      </c>
      <c r="U29" s="62">
        <f t="shared" ca="1" si="0"/>
        <v>45920</v>
      </c>
      <c r="V29" s="59"/>
      <c r="W29" s="59"/>
      <c r="X29" s="62">
        <f t="shared" ca="1" si="1"/>
        <v>45970</v>
      </c>
      <c r="Y29" s="63">
        <f t="shared" ca="1" si="1"/>
        <v>45971</v>
      </c>
      <c r="Z29" s="63">
        <f t="shared" ca="1" si="1"/>
        <v>45972</v>
      </c>
      <c r="AA29" s="63">
        <f t="shared" ca="1" si="1"/>
        <v>45973</v>
      </c>
      <c r="AB29" s="63">
        <f t="shared" ca="1" si="1"/>
        <v>45974</v>
      </c>
      <c r="AC29" s="63">
        <f t="shared" ca="1" si="1"/>
        <v>45975</v>
      </c>
      <c r="AD29" s="62">
        <f t="shared" ca="1" si="1"/>
        <v>45976</v>
      </c>
      <c r="AF29" s="1"/>
    </row>
    <row r="30" spans="1:42" ht="15" customHeight="1" x14ac:dyDescent="0.3">
      <c r="A30" s="1"/>
      <c r="C30" s="103"/>
      <c r="D30" s="103"/>
      <c r="E30" s="103"/>
      <c r="F30" s="103"/>
      <c r="G30" s="103"/>
      <c r="H30" s="103"/>
      <c r="I30" s="103"/>
      <c r="J30" s="103"/>
      <c r="K30" s="103"/>
      <c r="M30" s="1"/>
      <c r="O30" s="62">
        <f t="shared" ca="1" si="0"/>
        <v>45921</v>
      </c>
      <c r="P30" s="63">
        <f t="shared" ca="1" si="0"/>
        <v>45922</v>
      </c>
      <c r="Q30" s="63">
        <f t="shared" ca="1" si="0"/>
        <v>45923</v>
      </c>
      <c r="R30" s="63">
        <f t="shared" ca="1" si="0"/>
        <v>45924</v>
      </c>
      <c r="S30" s="63">
        <f t="shared" ca="1" si="0"/>
        <v>45925</v>
      </c>
      <c r="T30" s="63">
        <f t="shared" ca="1" si="0"/>
        <v>45926</v>
      </c>
      <c r="U30" s="62">
        <f t="shared" ca="1" si="0"/>
        <v>45927</v>
      </c>
      <c r="V30" s="59"/>
      <c r="W30" s="59"/>
      <c r="X30" s="62">
        <f t="shared" ca="1" si="1"/>
        <v>45977</v>
      </c>
      <c r="Y30" s="63">
        <f t="shared" ca="1" si="1"/>
        <v>45978</v>
      </c>
      <c r="Z30" s="63">
        <f t="shared" ca="1" si="1"/>
        <v>45979</v>
      </c>
      <c r="AA30" s="63">
        <f t="shared" ca="1" si="1"/>
        <v>45980</v>
      </c>
      <c r="AB30" s="63">
        <f t="shared" ca="1" si="1"/>
        <v>45981</v>
      </c>
      <c r="AC30" s="63">
        <f t="shared" ca="1" si="1"/>
        <v>45982</v>
      </c>
      <c r="AD30" s="62">
        <f t="shared" ca="1" si="1"/>
        <v>45983</v>
      </c>
      <c r="AF30" s="1"/>
    </row>
    <row r="31" spans="1:42" ht="15" customHeight="1" x14ac:dyDescent="0.3">
      <c r="A31" s="1"/>
      <c r="C31" s="104"/>
      <c r="D31" s="104"/>
      <c r="E31" s="104"/>
      <c r="F31" s="104"/>
      <c r="G31" s="104"/>
      <c r="H31" s="104"/>
      <c r="I31" s="104"/>
      <c r="J31" s="104"/>
      <c r="K31" s="104"/>
      <c r="M31" s="1"/>
      <c r="O31" s="62">
        <f t="shared" ca="1" si="0"/>
        <v>45928</v>
      </c>
      <c r="P31" s="63">
        <f t="shared" ca="1" si="0"/>
        <v>45929</v>
      </c>
      <c r="Q31" s="63">
        <f t="shared" ca="1" si="0"/>
        <v>45930</v>
      </c>
      <c r="R31" s="63" t="str">
        <f t="shared" ca="1" si="0"/>
        <v/>
      </c>
      <c r="S31" s="63" t="str">
        <f t="shared" ca="1" si="0"/>
        <v/>
      </c>
      <c r="T31" s="63" t="str">
        <f t="shared" ca="1" si="0"/>
        <v/>
      </c>
      <c r="U31" s="62" t="str">
        <f t="shared" ca="1" si="0"/>
        <v/>
      </c>
      <c r="V31" s="59"/>
      <c r="W31" s="59"/>
      <c r="X31" s="62">
        <f t="shared" ca="1" si="1"/>
        <v>45984</v>
      </c>
      <c r="Y31" s="63">
        <f t="shared" ca="1" si="1"/>
        <v>45985</v>
      </c>
      <c r="Z31" s="63">
        <f t="shared" ca="1" si="1"/>
        <v>45986</v>
      </c>
      <c r="AA31" s="63">
        <f t="shared" ca="1" si="1"/>
        <v>45987</v>
      </c>
      <c r="AB31" s="63">
        <f t="shared" ca="1" si="1"/>
        <v>45988</v>
      </c>
      <c r="AC31" s="63">
        <f t="shared" ca="1" si="1"/>
        <v>45989</v>
      </c>
      <c r="AD31" s="63">
        <f t="shared" ca="1" si="1"/>
        <v>45990</v>
      </c>
      <c r="AF31" s="1"/>
    </row>
    <row r="32" spans="1:42" x14ac:dyDescent="0.3">
      <c r="A32" s="1"/>
      <c r="M32" s="1"/>
      <c r="O32" s="62" t="str">
        <f t="shared" ca="1" si="0"/>
        <v/>
      </c>
      <c r="P32" s="63" t="str">
        <f t="shared" ca="1" si="0"/>
        <v/>
      </c>
      <c r="Q32" s="63" t="str">
        <f t="shared" ca="1" si="0"/>
        <v/>
      </c>
      <c r="R32" s="63" t="str">
        <f t="shared" ca="1" si="0"/>
        <v/>
      </c>
      <c r="S32" s="63" t="str">
        <f t="shared" ca="1" si="0"/>
        <v/>
      </c>
      <c r="T32" s="63" t="str">
        <f t="shared" ca="1" si="0"/>
        <v/>
      </c>
      <c r="U32" s="62" t="str">
        <f t="shared" ca="1" si="0"/>
        <v/>
      </c>
      <c r="V32" s="59"/>
      <c r="W32" s="59"/>
      <c r="X32" s="62">
        <f t="shared" ca="1" si="1"/>
        <v>45991</v>
      </c>
      <c r="Y32" s="63" t="str">
        <f t="shared" ca="1" si="1"/>
        <v/>
      </c>
      <c r="Z32" s="63" t="str">
        <f t="shared" ca="1" si="1"/>
        <v/>
      </c>
      <c r="AA32" s="63" t="str">
        <f t="shared" ca="1" si="1"/>
        <v/>
      </c>
      <c r="AB32" s="63" t="str">
        <f t="shared" ca="1" si="1"/>
        <v/>
      </c>
      <c r="AC32" s="63" t="str">
        <f t="shared" ca="1" si="1"/>
        <v/>
      </c>
      <c r="AD32" s="63" t="str">
        <f t="shared" ca="1" si="1"/>
        <v/>
      </c>
      <c r="AF32" s="1"/>
    </row>
    <row r="33" spans="1:32" x14ac:dyDescent="0.3">
      <c r="A33" s="1"/>
      <c r="M33" s="1"/>
      <c r="O33" s="62"/>
      <c r="P33" s="63"/>
      <c r="Q33" s="63"/>
      <c r="R33" s="63"/>
      <c r="S33" s="63"/>
      <c r="T33" s="63"/>
      <c r="U33" s="62"/>
      <c r="V33" s="59"/>
      <c r="W33" s="59"/>
      <c r="X33" s="62"/>
      <c r="Y33" s="63"/>
      <c r="Z33" s="63"/>
      <c r="AA33" s="63"/>
      <c r="AB33" s="63"/>
      <c r="AC33" s="63"/>
      <c r="AD33" s="63"/>
      <c r="AF33" s="1"/>
    </row>
    <row r="34" spans="1:32" ht="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</sheetData>
  <mergeCells count="104">
    <mergeCell ref="C30:K31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K18:M18"/>
    <mergeCell ref="O18:V18"/>
    <mergeCell ref="C19:D20"/>
    <mergeCell ref="E20:F20"/>
    <mergeCell ref="G20:H20"/>
    <mergeCell ref="I20:J20"/>
    <mergeCell ref="K20:M20"/>
    <mergeCell ref="O20:V20"/>
    <mergeCell ref="W20:AD20"/>
    <mergeCell ref="C21:D21"/>
    <mergeCell ref="E21:F21"/>
    <mergeCell ref="G21:H21"/>
    <mergeCell ref="I21:J21"/>
    <mergeCell ref="W15:AD15"/>
    <mergeCell ref="C16:D17"/>
    <mergeCell ref="E17:F17"/>
    <mergeCell ref="G17:H17"/>
    <mergeCell ref="I17:J17"/>
    <mergeCell ref="K17:M17"/>
    <mergeCell ref="O17:V17"/>
    <mergeCell ref="W17:AD17"/>
    <mergeCell ref="C15:D15"/>
    <mergeCell ref="E15:F15"/>
    <mergeCell ref="G15:H15"/>
    <mergeCell ref="I15:J15"/>
    <mergeCell ref="O15:V15"/>
    <mergeCell ref="K15:N15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K21:M21"/>
    <mergeCell ref="O21:V21"/>
    <mergeCell ref="W21:AD21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  <mergeCell ref="O5:V5"/>
  </mergeCells>
  <conditionalFormatting sqref="C5 E5 G5 I5 K5:L5 O5 W5 C7 E8 G8 I8 K8:L8 O8 W8 C10 E11 G11 I11 K11:L11 O11 W11 C13 E14 G14 I14 K14:L14 O14 W14 C16 E17 G17 I17 K17:L17 O17 W17">
    <cfRule type="expression" dxfId="11" priority="3">
      <formula>MONTH(C5)&lt;&gt;MONTH($C$2)</formula>
    </cfRule>
    <cfRule type="expression" dxfId="10" priority="4">
      <formula>OR(WEEKDAY(C5,1)=1,WEEKDAY(C5,1)=7)</formula>
    </cfRule>
  </conditionalFormatting>
  <conditionalFormatting sqref="C19 E20 G20 I20 K20:L20 O20 W20">
    <cfRule type="expression" dxfId="9" priority="1">
      <formula>MONTH(C19)&lt;&gt;MONTH($C$2)</formula>
    </cfRule>
    <cfRule type="expression" dxfId="8" priority="2">
      <formula>OR(WEEKDAY(C19,1)=1,WEEKDAY(C19,1)=7)</formula>
    </cfRule>
  </conditionalFormatting>
  <dataValidations count="7">
    <dataValidation allowBlank="1" showInputMessage="1" showErrorMessage="1" prompt="Next month calendar" sqref="X25:AD25" xr:uid="{9A4F69A1-B6CF-468A-A22F-C2FC67281CA2}"/>
    <dataValidation allowBlank="1" showInputMessage="1" showErrorMessage="1" prompt="Previous month calendar" sqref="O25:U25" xr:uid="{F4A2D377-B993-4056-B5F9-A51DF70C50DD}"/>
    <dataValidation allowBlank="1" showInputMessage="1" showErrorMessage="1" prompt="Enter monthly notes in cells C24 to K28" sqref="C25:K26" xr:uid="{D21CDC1C-BC87-4017-8D83-1A1C0031E638}"/>
    <dataValidation allowBlank="1" showInputMessage="1" showErrorMessage="1" prompt="Enter daily notes below the calendar days, such as this cell" sqref="C6:D6" xr:uid="{95DF00E6-1E13-4B5D-AB7F-DCC5098F9577}"/>
    <dataValidation allowBlank="1" showInputMessage="1" showErrorMessage="1" prompt="To change the starting day of the week, go to cell P12 in About sheet" sqref="C4:D4" xr:uid="{43B2A959-1075-4A33-85FA-47EDDF2BF5AD}"/>
    <dataValidation allowBlank="1" showInputMessage="1" showErrorMessage="1" prompt="Calendar days are automatically updated" sqref="C5:D5" xr:uid="{5D8A2B69-491F-4F41-A6B5-D2526CF0F8BC}"/>
    <dataValidation allowBlank="1" showInputMessage="1" showErrorMessage="1" prompt="To change the calendar year, go to cell P8 in About sheet" sqref="C2:AD2" xr:uid="{CC907FEE-8315-474F-954C-AFAF3FCEC40A}"/>
  </dataValidations>
  <printOptions horizontalCentered="1"/>
  <pageMargins left="0.5" right="0.5" top="0.25" bottom="0.25" header="0.25" footer="0.25"/>
  <pageSetup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F8DA-2979-4BE5-AF55-2FB3D9E9C532}">
  <sheetPr>
    <pageSetUpPr fitToPage="1"/>
  </sheetPr>
  <dimension ref="A1:AP34"/>
  <sheetViews>
    <sheetView showGridLines="0" topLeftCell="B4" zoomScale="52" zoomScaleNormal="100" workbookViewId="0">
      <selection activeCell="O21" sqref="O21:V21"/>
    </sheetView>
  </sheetViews>
  <sheetFormatPr defaultColWidth="8.7265625" defaultRowHeight="13" x14ac:dyDescent="0.3"/>
  <cols>
    <col min="1" max="3" width="5.54296875" style="3" customWidth="1"/>
    <col min="4" max="4" width="15.54296875" style="3" customWidth="1"/>
    <col min="5" max="5" width="5.54296875" style="3" customWidth="1"/>
    <col min="6" max="6" width="15.54296875" style="3" customWidth="1"/>
    <col min="7" max="7" width="5.54296875" style="3" customWidth="1"/>
    <col min="8" max="8" width="15.54296875" style="3" customWidth="1"/>
    <col min="9" max="9" width="5.54296875" style="3" customWidth="1"/>
    <col min="10" max="10" width="15.54296875" style="3" customWidth="1"/>
    <col min="11" max="14" width="5.54296875" style="3" customWidth="1"/>
    <col min="15" max="30" width="2.54296875" style="3" customWidth="1"/>
    <col min="31" max="32" width="5.54296875" style="3" customWidth="1"/>
    <col min="33" max="33" width="17.1796875" style="3" customWidth="1"/>
    <col min="34" max="34" width="10.453125" style="3" customWidth="1"/>
    <col min="35" max="16384" width="8.7265625" style="3"/>
  </cols>
  <sheetData>
    <row r="1" spans="1:36" ht="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1.35">
      <c r="A2" s="29"/>
      <c r="C2" s="81">
        <f ca="1">DATE(About!P8,11,1)</f>
        <v>45962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F2" s="29"/>
    </row>
    <row r="3" spans="1:36" s="32" customFormat="1" ht="25" customHeight="1" x14ac:dyDescent="1.35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4">
      <c r="A4" s="35"/>
      <c r="C4" s="82">
        <f ca="1">C5</f>
        <v>45956</v>
      </c>
      <c r="D4" s="82"/>
      <c r="E4" s="82">
        <f ca="1">E5</f>
        <v>45957</v>
      </c>
      <c r="F4" s="82"/>
      <c r="G4" s="82">
        <f ca="1">G5</f>
        <v>45958</v>
      </c>
      <c r="H4" s="82"/>
      <c r="I4" s="82">
        <f ca="1">I5</f>
        <v>45959</v>
      </c>
      <c r="J4" s="82"/>
      <c r="K4" s="82">
        <f ca="1">K5</f>
        <v>45960</v>
      </c>
      <c r="L4" s="82"/>
      <c r="M4" s="82"/>
      <c r="N4" s="37"/>
      <c r="O4" s="82">
        <f ca="1">O5</f>
        <v>45961</v>
      </c>
      <c r="P4" s="82"/>
      <c r="Q4" s="82"/>
      <c r="R4" s="82"/>
      <c r="S4" s="82"/>
      <c r="T4" s="82"/>
      <c r="U4" s="82"/>
      <c r="V4" s="82"/>
      <c r="W4" s="82">
        <f ca="1">W5</f>
        <v>45962</v>
      </c>
      <c r="X4" s="82"/>
      <c r="Y4" s="82"/>
      <c r="Z4" s="82"/>
      <c r="AA4" s="82"/>
      <c r="AB4" s="82"/>
      <c r="AC4" s="82"/>
      <c r="AD4" s="82"/>
      <c r="AF4" s="38"/>
      <c r="AG4" s="39"/>
      <c r="AH4" s="39"/>
      <c r="AI4" s="39"/>
      <c r="AJ4" s="39"/>
    </row>
    <row r="5" spans="1:36" ht="25" customHeight="1" x14ac:dyDescent="0.35">
      <c r="A5" s="1"/>
      <c r="C5" s="101">
        <f ca="1">$C$2-(WEEKDAY($C$2,1)-(start_day-1))-IF((WEEKDAY($C$2,1)-(start_day-1))&lt;=0,7,0)+1</f>
        <v>45956</v>
      </c>
      <c r="D5" s="102"/>
      <c r="E5" s="101">
        <f ca="1">C5+1</f>
        <v>45957</v>
      </c>
      <c r="F5" s="102"/>
      <c r="G5" s="101">
        <f ca="1">E5+1</f>
        <v>45958</v>
      </c>
      <c r="H5" s="102"/>
      <c r="I5" s="101">
        <f ca="1">G5+1</f>
        <v>45959</v>
      </c>
      <c r="J5" s="102"/>
      <c r="K5" s="101">
        <f ca="1">I5+1</f>
        <v>45960</v>
      </c>
      <c r="L5" s="109"/>
      <c r="M5" s="109"/>
      <c r="N5" s="68"/>
      <c r="O5" s="101">
        <f ca="1">K5+1</f>
        <v>45961</v>
      </c>
      <c r="P5" s="109"/>
      <c r="Q5" s="109"/>
      <c r="R5" s="109"/>
      <c r="S5" s="109"/>
      <c r="T5" s="109"/>
      <c r="U5" s="109"/>
      <c r="V5" s="102"/>
      <c r="W5" s="101">
        <f ca="1">O5+1</f>
        <v>45962</v>
      </c>
      <c r="X5" s="109"/>
      <c r="Y5" s="109"/>
      <c r="Z5" s="109"/>
      <c r="AA5" s="109"/>
      <c r="AB5" s="109"/>
      <c r="AC5" s="109"/>
      <c r="AD5" s="102"/>
      <c r="AF5" s="40"/>
      <c r="AG5" s="41"/>
      <c r="AH5" s="41"/>
      <c r="AI5" s="41"/>
      <c r="AJ5" s="41"/>
    </row>
    <row r="6" spans="1:36" s="43" customFormat="1" ht="75" customHeight="1" x14ac:dyDescent="0.25">
      <c r="A6" s="42"/>
      <c r="C6" s="78"/>
      <c r="D6" s="80"/>
      <c r="E6" s="78"/>
      <c r="F6" s="80"/>
      <c r="G6" s="78"/>
      <c r="H6" s="80"/>
      <c r="I6" s="78"/>
      <c r="J6" s="80"/>
      <c r="K6" s="78"/>
      <c r="L6" s="79"/>
      <c r="M6" s="79"/>
      <c r="N6" s="80"/>
      <c r="O6" s="78"/>
      <c r="P6" s="79"/>
      <c r="Q6" s="79"/>
      <c r="R6" s="79"/>
      <c r="S6" s="79"/>
      <c r="T6" s="79"/>
      <c r="U6" s="79"/>
      <c r="V6" s="80"/>
      <c r="W6" s="98" t="s">
        <v>10</v>
      </c>
      <c r="X6" s="99"/>
      <c r="Y6" s="99"/>
      <c r="Z6" s="99"/>
      <c r="AA6" s="99"/>
      <c r="AB6" s="99"/>
      <c r="AC6" s="99"/>
      <c r="AD6" s="100"/>
      <c r="AE6" s="7"/>
      <c r="AF6" s="42"/>
    </row>
    <row r="7" spans="1:36" ht="10" customHeight="1" x14ac:dyDescent="0.3">
      <c r="A7" s="1"/>
      <c r="C7" s="101">
        <f ca="1">W5+1</f>
        <v>45963</v>
      </c>
      <c r="D7" s="102"/>
      <c r="E7" s="110"/>
      <c r="F7" s="111"/>
      <c r="G7" s="110"/>
      <c r="H7" s="111"/>
      <c r="I7" s="110"/>
      <c r="J7" s="111"/>
      <c r="K7" s="110"/>
      <c r="L7" s="112"/>
      <c r="M7" s="112"/>
      <c r="N7" s="69"/>
      <c r="O7" s="110"/>
      <c r="P7" s="112"/>
      <c r="Q7" s="112"/>
      <c r="R7" s="112"/>
      <c r="S7" s="112"/>
      <c r="T7" s="112"/>
      <c r="U7" s="112"/>
      <c r="V7" s="111"/>
      <c r="W7" s="110"/>
      <c r="X7" s="112"/>
      <c r="Y7" s="112"/>
      <c r="Z7" s="112"/>
      <c r="AA7" s="112"/>
      <c r="AB7" s="112"/>
      <c r="AC7" s="112"/>
      <c r="AD7" s="111"/>
      <c r="AF7" s="1"/>
    </row>
    <row r="8" spans="1:36" s="7" customFormat="1" ht="15" customHeight="1" x14ac:dyDescent="0.25">
      <c r="A8" s="4"/>
      <c r="C8" s="101"/>
      <c r="D8" s="102"/>
      <c r="E8" s="95">
        <f ca="1">C7+1</f>
        <v>45964</v>
      </c>
      <c r="F8" s="97"/>
      <c r="G8" s="95">
        <f ca="1">E8+1</f>
        <v>45965</v>
      </c>
      <c r="H8" s="97"/>
      <c r="I8" s="95">
        <f ca="1">G8+1</f>
        <v>45966</v>
      </c>
      <c r="J8" s="97"/>
      <c r="K8" s="95">
        <f ca="1">I8+1</f>
        <v>45967</v>
      </c>
      <c r="L8" s="96"/>
      <c r="M8" s="96"/>
      <c r="N8" s="49"/>
      <c r="O8" s="95">
        <f ca="1">K8+1</f>
        <v>45968</v>
      </c>
      <c r="P8" s="96"/>
      <c r="Q8" s="96"/>
      <c r="R8" s="96"/>
      <c r="S8" s="96"/>
      <c r="T8" s="96"/>
      <c r="U8" s="96"/>
      <c r="V8" s="97"/>
      <c r="W8" s="95">
        <f ca="1">O8+1</f>
        <v>45969</v>
      </c>
      <c r="X8" s="96"/>
      <c r="Y8" s="96"/>
      <c r="Z8" s="96"/>
      <c r="AA8" s="96"/>
      <c r="AB8" s="96"/>
      <c r="AC8" s="96"/>
      <c r="AD8" s="97"/>
      <c r="AF8" s="4"/>
    </row>
    <row r="9" spans="1:36" s="43" customFormat="1" ht="75" customHeight="1" x14ac:dyDescent="0.25">
      <c r="A9" s="42"/>
      <c r="C9" s="98" t="s">
        <v>11</v>
      </c>
      <c r="D9" s="100"/>
      <c r="E9" s="98" t="s">
        <v>12</v>
      </c>
      <c r="F9" s="100"/>
      <c r="G9" s="98" t="s">
        <v>13</v>
      </c>
      <c r="H9" s="100"/>
      <c r="I9" s="98" t="s">
        <v>14</v>
      </c>
      <c r="J9" s="100"/>
      <c r="K9" s="98" t="s">
        <v>9</v>
      </c>
      <c r="L9" s="99"/>
      <c r="M9" s="99"/>
      <c r="N9" s="100"/>
      <c r="O9" s="98" t="s">
        <v>19</v>
      </c>
      <c r="P9" s="99"/>
      <c r="Q9" s="99"/>
      <c r="R9" s="99"/>
      <c r="S9" s="99"/>
      <c r="T9" s="99"/>
      <c r="U9" s="99"/>
      <c r="V9" s="100"/>
      <c r="W9" s="98" t="s">
        <v>20</v>
      </c>
      <c r="X9" s="99"/>
      <c r="Y9" s="99"/>
      <c r="Z9" s="99"/>
      <c r="AA9" s="99"/>
      <c r="AB9" s="99"/>
      <c r="AC9" s="99"/>
      <c r="AD9" s="100"/>
      <c r="AE9" s="7"/>
      <c r="AF9" s="42"/>
    </row>
    <row r="10" spans="1:36" s="43" customFormat="1" ht="10" customHeight="1" x14ac:dyDescent="0.25">
      <c r="A10" s="42"/>
      <c r="C10" s="101">
        <f ca="1">W8+1</f>
        <v>45970</v>
      </c>
      <c r="D10" s="102"/>
      <c r="E10" s="45"/>
      <c r="F10" s="69"/>
      <c r="G10" s="45"/>
      <c r="H10" s="69"/>
      <c r="I10" s="45"/>
      <c r="J10" s="69"/>
      <c r="K10" s="45"/>
      <c r="L10" s="70"/>
      <c r="M10" s="70"/>
      <c r="N10" s="69"/>
      <c r="O10" s="45"/>
      <c r="P10" s="70"/>
      <c r="Q10" s="70"/>
      <c r="R10" s="70"/>
      <c r="S10" s="70"/>
      <c r="T10" s="70"/>
      <c r="U10" s="70"/>
      <c r="V10" s="69"/>
      <c r="W10" s="45"/>
      <c r="X10" s="70"/>
      <c r="Y10" s="70"/>
      <c r="Z10" s="70"/>
      <c r="AA10" s="70"/>
      <c r="AB10" s="70"/>
      <c r="AC10" s="70"/>
      <c r="AD10" s="69"/>
      <c r="AE10" s="7"/>
      <c r="AF10" s="42"/>
    </row>
    <row r="11" spans="1:36" s="7" customFormat="1" ht="15" customHeight="1" x14ac:dyDescent="0.3">
      <c r="A11" s="4"/>
      <c r="C11" s="101"/>
      <c r="D11" s="102"/>
      <c r="E11" s="95">
        <f ca="1">C10+1</f>
        <v>45971</v>
      </c>
      <c r="F11" s="97"/>
      <c r="G11" s="95">
        <f ca="1">E11+1</f>
        <v>45972</v>
      </c>
      <c r="H11" s="97"/>
      <c r="I11" s="95">
        <f ca="1">G11+1</f>
        <v>45973</v>
      </c>
      <c r="J11" s="97"/>
      <c r="K11" s="95">
        <f ca="1">I11+1</f>
        <v>45974</v>
      </c>
      <c r="L11" s="96"/>
      <c r="M11" s="96"/>
      <c r="N11" s="49"/>
      <c r="O11" s="95">
        <f ca="1">K11+1</f>
        <v>45975</v>
      </c>
      <c r="P11" s="96"/>
      <c r="Q11" s="96"/>
      <c r="R11" s="96"/>
      <c r="S11" s="96"/>
      <c r="T11" s="96"/>
      <c r="U11" s="96"/>
      <c r="V11" s="97"/>
      <c r="W11" s="95">
        <f ca="1">O11+1</f>
        <v>45976</v>
      </c>
      <c r="X11" s="96"/>
      <c r="Y11" s="96"/>
      <c r="Z11" s="96"/>
      <c r="AA11" s="96"/>
      <c r="AB11" s="96"/>
      <c r="AC11" s="96"/>
      <c r="AD11" s="97"/>
      <c r="AF11" s="4"/>
      <c r="AJ11" s="3"/>
    </row>
    <row r="12" spans="1:36" s="43" customFormat="1" ht="75" customHeight="1" x14ac:dyDescent="0.25">
      <c r="A12" s="42"/>
      <c r="C12" s="98" t="s">
        <v>21</v>
      </c>
      <c r="D12" s="100"/>
      <c r="E12" s="98" t="s">
        <v>15</v>
      </c>
      <c r="F12" s="100"/>
      <c r="G12" s="98" t="s">
        <v>16</v>
      </c>
      <c r="H12" s="100"/>
      <c r="I12" s="98" t="s">
        <v>17</v>
      </c>
      <c r="J12" s="100"/>
      <c r="K12" s="98" t="s">
        <v>26</v>
      </c>
      <c r="L12" s="99"/>
      <c r="M12" s="99"/>
      <c r="N12" s="100"/>
      <c r="O12" s="98" t="s">
        <v>18</v>
      </c>
      <c r="P12" s="99"/>
      <c r="Q12" s="99"/>
      <c r="R12" s="99"/>
      <c r="S12" s="99"/>
      <c r="T12" s="99"/>
      <c r="U12" s="99"/>
      <c r="V12" s="100"/>
      <c r="W12" s="98" t="s">
        <v>22</v>
      </c>
      <c r="X12" s="99"/>
      <c r="Y12" s="99"/>
      <c r="Z12" s="99"/>
      <c r="AA12" s="99"/>
      <c r="AB12" s="99"/>
      <c r="AC12" s="99"/>
      <c r="AD12" s="100"/>
      <c r="AE12" s="7"/>
      <c r="AF12" s="42"/>
    </row>
    <row r="13" spans="1:36" s="43" customFormat="1" ht="10" customHeight="1" x14ac:dyDescent="0.25">
      <c r="A13" s="42"/>
      <c r="C13" s="101">
        <f ca="1">W11+1</f>
        <v>45977</v>
      </c>
      <c r="D13" s="102"/>
      <c r="E13" s="45"/>
      <c r="F13" s="69"/>
      <c r="G13" s="45"/>
      <c r="H13" s="69"/>
      <c r="I13" s="45"/>
      <c r="J13" s="69"/>
      <c r="K13" s="45"/>
      <c r="L13" s="70"/>
      <c r="M13" s="70"/>
      <c r="N13" s="69"/>
      <c r="O13" s="45"/>
      <c r="P13" s="70"/>
      <c r="Q13" s="70"/>
      <c r="R13" s="70"/>
      <c r="S13" s="70"/>
      <c r="T13" s="70"/>
      <c r="U13" s="70"/>
      <c r="V13" s="69"/>
      <c r="W13" s="45"/>
      <c r="X13" s="70"/>
      <c r="Y13" s="70"/>
      <c r="Z13" s="70"/>
      <c r="AA13" s="70"/>
      <c r="AB13" s="70"/>
      <c r="AC13" s="70"/>
      <c r="AD13" s="69"/>
      <c r="AE13" s="7"/>
      <c r="AF13" s="42"/>
    </row>
    <row r="14" spans="1:36" s="7" customFormat="1" ht="15" customHeight="1" x14ac:dyDescent="0.25">
      <c r="A14" s="4"/>
      <c r="C14" s="101"/>
      <c r="D14" s="102"/>
      <c r="E14" s="95">
        <f ca="1">C13+1</f>
        <v>45978</v>
      </c>
      <c r="F14" s="97"/>
      <c r="G14" s="95">
        <f ca="1">E14+1</f>
        <v>45979</v>
      </c>
      <c r="H14" s="97"/>
      <c r="I14" s="95">
        <f ca="1">G14+1</f>
        <v>45980</v>
      </c>
      <c r="J14" s="97"/>
      <c r="K14" s="95">
        <f ca="1">I14+1</f>
        <v>45981</v>
      </c>
      <c r="L14" s="96"/>
      <c r="M14" s="96"/>
      <c r="N14" s="49"/>
      <c r="O14" s="95">
        <f ca="1">K14+1</f>
        <v>45982</v>
      </c>
      <c r="P14" s="96"/>
      <c r="Q14" s="96"/>
      <c r="R14" s="96"/>
      <c r="S14" s="96"/>
      <c r="T14" s="96"/>
      <c r="U14" s="96"/>
      <c r="V14" s="97"/>
      <c r="W14" s="95">
        <f ca="1">O14+1</f>
        <v>45983</v>
      </c>
      <c r="X14" s="96"/>
      <c r="Y14" s="96"/>
      <c r="Z14" s="96"/>
      <c r="AA14" s="96"/>
      <c r="AB14" s="96"/>
      <c r="AC14" s="96"/>
      <c r="AD14" s="97"/>
      <c r="AF14" s="4"/>
    </row>
    <row r="15" spans="1:36" s="43" customFormat="1" ht="75" customHeight="1" x14ac:dyDescent="0.25">
      <c r="A15" s="42"/>
      <c r="C15" s="78"/>
      <c r="D15" s="80"/>
      <c r="E15" s="98" t="s">
        <v>23</v>
      </c>
      <c r="F15" s="100"/>
      <c r="G15" s="98" t="s">
        <v>24</v>
      </c>
      <c r="H15" s="100"/>
      <c r="I15" s="98" t="s">
        <v>25</v>
      </c>
      <c r="J15" s="100"/>
      <c r="K15" s="98" t="s">
        <v>9</v>
      </c>
      <c r="L15" s="99"/>
      <c r="M15" s="99"/>
      <c r="N15" s="100"/>
      <c r="O15" s="98" t="s">
        <v>27</v>
      </c>
      <c r="P15" s="99"/>
      <c r="Q15" s="99"/>
      <c r="R15" s="99"/>
      <c r="S15" s="99"/>
      <c r="T15" s="99"/>
      <c r="U15" s="99"/>
      <c r="V15" s="100"/>
      <c r="W15" s="98" t="s">
        <v>28</v>
      </c>
      <c r="X15" s="99"/>
      <c r="Y15" s="99"/>
      <c r="Z15" s="99"/>
      <c r="AA15" s="99"/>
      <c r="AB15" s="99"/>
      <c r="AC15" s="99"/>
      <c r="AD15" s="100"/>
      <c r="AE15" s="7"/>
      <c r="AF15" s="42"/>
    </row>
    <row r="16" spans="1:36" s="43" customFormat="1" ht="10" customHeight="1" x14ac:dyDescent="0.25">
      <c r="A16" s="42"/>
      <c r="C16" s="101">
        <f ca="1">W14+1</f>
        <v>45984</v>
      </c>
      <c r="D16" s="102"/>
      <c r="E16" s="45"/>
      <c r="F16" s="69"/>
      <c r="G16" s="45"/>
      <c r="H16" s="69"/>
      <c r="I16" s="113"/>
      <c r="J16" s="114"/>
      <c r="K16" s="64"/>
      <c r="L16" s="66"/>
      <c r="M16" s="66"/>
      <c r="N16" s="65"/>
      <c r="O16" s="46"/>
      <c r="P16" s="48"/>
      <c r="Q16" s="48"/>
      <c r="R16" s="48"/>
      <c r="S16" s="48"/>
      <c r="T16" s="48"/>
      <c r="U16" s="48"/>
      <c r="V16" s="47"/>
      <c r="W16" s="45"/>
      <c r="X16" s="70"/>
      <c r="Y16" s="70"/>
      <c r="Z16" s="70"/>
      <c r="AA16" s="70"/>
      <c r="AB16" s="70"/>
      <c r="AC16" s="70"/>
      <c r="AD16" s="69"/>
      <c r="AE16" s="7"/>
      <c r="AF16" s="42"/>
    </row>
    <row r="17" spans="1:42" s="7" customFormat="1" ht="15" customHeight="1" x14ac:dyDescent="0.25">
      <c r="A17" s="4"/>
      <c r="C17" s="101"/>
      <c r="D17" s="102"/>
      <c r="E17" s="95">
        <f ca="1">C16+1</f>
        <v>45985</v>
      </c>
      <c r="F17" s="97"/>
      <c r="G17" s="95">
        <f ca="1">E17+1</f>
        <v>45986</v>
      </c>
      <c r="H17" s="97"/>
      <c r="I17" s="95">
        <f ca="1">G17+1</f>
        <v>45987</v>
      </c>
      <c r="J17" s="97"/>
      <c r="K17" s="95">
        <f ca="1">I17+1</f>
        <v>45988</v>
      </c>
      <c r="L17" s="96"/>
      <c r="M17" s="96"/>
      <c r="N17" s="97"/>
      <c r="O17" s="95">
        <f ca="1">K17+1</f>
        <v>45989</v>
      </c>
      <c r="P17" s="96"/>
      <c r="Q17" s="96"/>
      <c r="R17" s="96"/>
      <c r="S17" s="96"/>
      <c r="T17" s="96"/>
      <c r="U17" s="96"/>
      <c r="V17" s="97"/>
      <c r="W17" s="95">
        <f ca="1">O17+1</f>
        <v>45990</v>
      </c>
      <c r="X17" s="96"/>
      <c r="Y17" s="96"/>
      <c r="Z17" s="96"/>
      <c r="AA17" s="96"/>
      <c r="AB17" s="96"/>
      <c r="AC17" s="96"/>
      <c r="AD17" s="97"/>
      <c r="AF17" s="4"/>
    </row>
    <row r="18" spans="1:42" s="43" customFormat="1" ht="75" customHeight="1" x14ac:dyDescent="0.3">
      <c r="A18" s="42"/>
      <c r="C18" s="78"/>
      <c r="D18" s="80"/>
      <c r="E18" s="98" t="s">
        <v>29</v>
      </c>
      <c r="F18" s="100"/>
      <c r="G18" s="98" t="s">
        <v>30</v>
      </c>
      <c r="H18" s="100"/>
      <c r="I18" s="78" t="s">
        <v>31</v>
      </c>
      <c r="J18" s="80"/>
      <c r="K18" s="78" t="s">
        <v>32</v>
      </c>
      <c r="L18" s="79"/>
      <c r="M18" s="79"/>
      <c r="N18" s="80"/>
      <c r="O18" s="98" t="s">
        <v>33</v>
      </c>
      <c r="P18" s="99"/>
      <c r="Q18" s="99"/>
      <c r="R18" s="99"/>
      <c r="S18" s="99"/>
      <c r="T18" s="99"/>
      <c r="U18" s="99"/>
      <c r="V18" s="100"/>
      <c r="W18" s="78"/>
      <c r="X18" s="79"/>
      <c r="Y18" s="79"/>
      <c r="Z18" s="79"/>
      <c r="AA18" s="79"/>
      <c r="AB18" s="79"/>
      <c r="AC18" s="79"/>
      <c r="AD18" s="80"/>
      <c r="AE18" s="7"/>
      <c r="AF18" s="42"/>
      <c r="AP18" s="3"/>
    </row>
    <row r="19" spans="1:42" s="43" customFormat="1" ht="10" customHeight="1" x14ac:dyDescent="0.25">
      <c r="A19" s="42"/>
      <c r="C19" s="101">
        <f ca="1">W17+1</f>
        <v>45991</v>
      </c>
      <c r="D19" s="102"/>
      <c r="E19" s="45"/>
      <c r="F19" s="69"/>
      <c r="G19" s="45"/>
      <c r="H19" s="69"/>
      <c r="I19" s="113"/>
      <c r="J19" s="114"/>
      <c r="K19" s="64"/>
      <c r="L19" s="66"/>
      <c r="M19" s="66"/>
      <c r="N19" s="65"/>
      <c r="O19" s="46"/>
      <c r="P19" s="48"/>
      <c r="Q19" s="48"/>
      <c r="R19" s="48"/>
      <c r="S19" s="48"/>
      <c r="T19" s="48"/>
      <c r="U19" s="48"/>
      <c r="V19" s="47"/>
      <c r="W19" s="45"/>
      <c r="X19" s="70"/>
      <c r="Y19" s="70"/>
      <c r="Z19" s="70"/>
      <c r="AA19" s="70"/>
      <c r="AB19" s="70"/>
      <c r="AC19" s="70"/>
      <c r="AD19" s="69"/>
      <c r="AE19" s="7"/>
      <c r="AF19" s="42"/>
    </row>
    <row r="20" spans="1:42" s="7" customFormat="1" ht="15" customHeight="1" x14ac:dyDescent="0.25">
      <c r="A20" s="4"/>
      <c r="C20" s="101"/>
      <c r="D20" s="102"/>
      <c r="E20" s="95">
        <f ca="1">C19+1</f>
        <v>45992</v>
      </c>
      <c r="F20" s="97"/>
      <c r="G20" s="95">
        <f ca="1">E20+1</f>
        <v>45993</v>
      </c>
      <c r="H20" s="97"/>
      <c r="I20" s="95">
        <f ca="1">G20+1</f>
        <v>45994</v>
      </c>
      <c r="J20" s="97"/>
      <c r="K20" s="95">
        <f ca="1">I20+1</f>
        <v>45995</v>
      </c>
      <c r="L20" s="96"/>
      <c r="M20" s="96"/>
      <c r="N20" s="97"/>
      <c r="O20" s="95">
        <f ca="1">K20+1</f>
        <v>45996</v>
      </c>
      <c r="P20" s="96"/>
      <c r="Q20" s="96"/>
      <c r="R20" s="96"/>
      <c r="S20" s="96"/>
      <c r="T20" s="96"/>
      <c r="U20" s="96"/>
      <c r="V20" s="97"/>
      <c r="W20" s="95">
        <f ca="1">O20+1</f>
        <v>45997</v>
      </c>
      <c r="X20" s="96"/>
      <c r="Y20" s="96"/>
      <c r="Z20" s="96"/>
      <c r="AA20" s="96"/>
      <c r="AB20" s="96"/>
      <c r="AC20" s="96"/>
      <c r="AD20" s="97"/>
      <c r="AF20" s="4"/>
    </row>
    <row r="21" spans="1:42" s="43" customFormat="1" ht="75" customHeight="1" x14ac:dyDescent="0.3">
      <c r="A21" s="42"/>
      <c r="C21" s="78"/>
      <c r="D21" s="80"/>
      <c r="E21" s="78"/>
      <c r="F21" s="80"/>
      <c r="G21" s="78"/>
      <c r="H21" s="80"/>
      <c r="I21" s="78"/>
      <c r="J21" s="80"/>
      <c r="K21" s="78"/>
      <c r="L21" s="79"/>
      <c r="M21" s="79"/>
      <c r="N21" s="80"/>
      <c r="O21" s="78"/>
      <c r="P21" s="79"/>
      <c r="Q21" s="79"/>
      <c r="R21" s="79"/>
      <c r="S21" s="79"/>
      <c r="T21" s="79"/>
      <c r="U21" s="79"/>
      <c r="V21" s="80"/>
      <c r="W21" s="78"/>
      <c r="X21" s="79"/>
      <c r="Y21" s="79"/>
      <c r="Z21" s="79"/>
      <c r="AA21" s="79"/>
      <c r="AB21" s="79"/>
      <c r="AC21" s="79"/>
      <c r="AD21" s="80"/>
      <c r="AE21" s="7"/>
      <c r="AF21" s="42"/>
      <c r="AP21" s="3"/>
    </row>
    <row r="22" spans="1:42" s="7" customFormat="1" ht="25" customHeight="1" x14ac:dyDescent="0.25">
      <c r="A22" s="4"/>
      <c r="C22" s="50"/>
      <c r="D22" s="50"/>
      <c r="E22" s="50"/>
      <c r="F22" s="50"/>
      <c r="G22" s="51"/>
      <c r="H22" s="52"/>
      <c r="I22" s="52"/>
      <c r="J22" s="52"/>
      <c r="K22" s="52"/>
      <c r="L22" s="52"/>
      <c r="M22" s="52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F22" s="4"/>
    </row>
    <row r="23" spans="1:42" s="7" customFormat="1" ht="25" customHeight="1" x14ac:dyDescent="0.25">
      <c r="A23" s="4"/>
      <c r="B23" s="4"/>
      <c r="C23" s="54"/>
      <c r="D23" s="54"/>
      <c r="E23" s="54"/>
      <c r="F23" s="54"/>
      <c r="G23" s="55"/>
      <c r="H23" s="56"/>
      <c r="I23" s="56"/>
      <c r="J23" s="56"/>
      <c r="K23" s="56"/>
      <c r="L23" s="56"/>
      <c r="M23" s="56"/>
      <c r="N23" s="5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4"/>
      <c r="AF23" s="4"/>
    </row>
    <row r="24" spans="1:42" ht="25" customHeight="1" x14ac:dyDescent="0.3">
      <c r="A24" s="1"/>
      <c r="M24" s="1"/>
      <c r="AF24" s="1"/>
    </row>
    <row r="25" spans="1:42" ht="20.149999999999999" customHeight="1" x14ac:dyDescent="0.3">
      <c r="A25" s="1"/>
      <c r="C25" s="105" t="s">
        <v>3</v>
      </c>
      <c r="D25" s="105"/>
      <c r="E25" s="105"/>
      <c r="F25" s="105"/>
      <c r="G25" s="105"/>
      <c r="H25" s="105"/>
      <c r="I25" s="105"/>
      <c r="J25" s="105"/>
      <c r="K25" s="105"/>
      <c r="L25" s="58"/>
      <c r="M25" s="1"/>
      <c r="O25" s="106">
        <f ca="1">DATE(YEAR(C2),MONTH(C2)-1,1)</f>
        <v>45931</v>
      </c>
      <c r="P25" s="106"/>
      <c r="Q25" s="106"/>
      <c r="R25" s="106"/>
      <c r="S25" s="106"/>
      <c r="T25" s="106"/>
      <c r="U25" s="106"/>
      <c r="V25" s="59"/>
      <c r="W25" s="59"/>
      <c r="X25" s="106">
        <f ca="1">DATE(YEAR(C2),MONTH(C2)+1,1)</f>
        <v>45992</v>
      </c>
      <c r="Y25" s="106"/>
      <c r="Z25" s="106"/>
      <c r="AA25" s="106"/>
      <c r="AB25" s="106"/>
      <c r="AC25" s="106"/>
      <c r="AD25" s="106"/>
      <c r="AF25" s="1"/>
    </row>
    <row r="26" spans="1:42" ht="15" customHeight="1" x14ac:dyDescent="0.3">
      <c r="A26" s="1"/>
      <c r="C26" s="105"/>
      <c r="D26" s="105"/>
      <c r="E26" s="105"/>
      <c r="F26" s="105"/>
      <c r="G26" s="105"/>
      <c r="H26" s="105"/>
      <c r="I26" s="105"/>
      <c r="J26" s="105"/>
      <c r="K26" s="105"/>
      <c r="L26" s="58"/>
      <c r="M26" s="1"/>
      <c r="O26" s="60" t="str">
        <f>INDEX({"S";"M";"T";"W";"T";"F";"S"},1+MOD(start_day+1-2,7))</f>
        <v>S</v>
      </c>
      <c r="P26" s="60" t="str">
        <f>INDEX({"S";"M";"T";"W";"T";"F";"S"},1+MOD(start_day+2-2,7))</f>
        <v>M</v>
      </c>
      <c r="Q26" s="60" t="str">
        <f>INDEX({"S";"M";"T";"W";"T";"F";"S"},1+MOD(start_day+3-2,7))</f>
        <v>T</v>
      </c>
      <c r="R26" s="60" t="str">
        <f>INDEX({"S";"M";"T";"W";"T";"F";"S"},1+MOD(start_day+4-2,7))</f>
        <v>W</v>
      </c>
      <c r="S26" s="60" t="str">
        <f>INDEX({"S";"M";"T";"W";"T";"F";"S"},1+MOD(start_day+5-2,7))</f>
        <v>T</v>
      </c>
      <c r="T26" s="60" t="str">
        <f>INDEX({"S";"M";"T";"W";"T";"F";"S"},1+MOD(start_day+6-2,7))</f>
        <v>F</v>
      </c>
      <c r="U26" s="60" t="str">
        <f>INDEX({"S";"M";"T";"W";"T";"F";"S"},1+MOD(start_day+7-2,7))</f>
        <v>S</v>
      </c>
      <c r="V26" s="61"/>
      <c r="W26" s="61"/>
      <c r="X26" s="60" t="str">
        <f>INDEX({"S";"M";"T";"W";"T";"F";"S"},1+MOD(start_day+1-2,7))</f>
        <v>S</v>
      </c>
      <c r="Y26" s="60" t="str">
        <f>INDEX({"S";"M";"T";"W";"T";"F";"S"},1+MOD(start_day+2-2,7))</f>
        <v>M</v>
      </c>
      <c r="Z26" s="60" t="str">
        <f>INDEX({"S";"M";"T";"W";"T";"F";"S"},1+MOD(start_day+3-2,7))</f>
        <v>T</v>
      </c>
      <c r="AA26" s="60" t="str">
        <f>INDEX({"S";"M";"T";"W";"T";"F";"S"},1+MOD(start_day+4-2,7))</f>
        <v>W</v>
      </c>
      <c r="AB26" s="60" t="str">
        <f>INDEX({"S";"M";"T";"W";"T";"F";"S"},1+MOD(start_day+5-2,7))</f>
        <v>T</v>
      </c>
      <c r="AC26" s="60" t="str">
        <f>INDEX({"S";"M";"T";"W";"T";"F";"S"},1+MOD(start_day+6-2,7))</f>
        <v>F</v>
      </c>
      <c r="AD26" s="60" t="str">
        <f>INDEX({"S";"M";"T";"W";"T";"F";"S"},1+MOD(start_day+7-2,7))</f>
        <v>S</v>
      </c>
      <c r="AF26" s="1"/>
    </row>
    <row r="27" spans="1:42" ht="15" customHeight="1" x14ac:dyDescent="0.3">
      <c r="A27" s="1"/>
      <c r="C27" s="104"/>
      <c r="D27" s="104"/>
      <c r="E27" s="104"/>
      <c r="F27" s="104"/>
      <c r="G27" s="104"/>
      <c r="H27" s="104"/>
      <c r="I27" s="104"/>
      <c r="J27" s="104"/>
      <c r="K27" s="104"/>
      <c r="M27" s="1"/>
      <c r="O27" s="62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3" t="str">
        <f t="shared" ca="1" si="0"/>
        <v/>
      </c>
      <c r="Q27" s="63" t="str">
        <f t="shared" ca="1" si="0"/>
        <v/>
      </c>
      <c r="R27" s="63">
        <f t="shared" ca="1" si="0"/>
        <v>45931</v>
      </c>
      <c r="S27" s="63">
        <f t="shared" ca="1" si="0"/>
        <v>45932</v>
      </c>
      <c r="T27" s="63">
        <f t="shared" ca="1" si="0"/>
        <v>45933</v>
      </c>
      <c r="U27" s="62">
        <f t="shared" ca="1" si="0"/>
        <v>45934</v>
      </c>
      <c r="V27" s="59"/>
      <c r="W27" s="59"/>
      <c r="X27" s="63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3">
        <f t="shared" ca="1" si="1"/>
        <v>45992</v>
      </c>
      <c r="Z27" s="63">
        <f t="shared" ca="1" si="1"/>
        <v>45993</v>
      </c>
      <c r="AA27" s="63">
        <f t="shared" ca="1" si="1"/>
        <v>45994</v>
      </c>
      <c r="AB27" s="63">
        <f t="shared" ca="1" si="1"/>
        <v>45995</v>
      </c>
      <c r="AC27" s="63">
        <f t="shared" ca="1" si="1"/>
        <v>45996</v>
      </c>
      <c r="AD27" s="62">
        <f t="shared" ca="1" si="1"/>
        <v>45997</v>
      </c>
      <c r="AF27" s="1"/>
    </row>
    <row r="28" spans="1:42" ht="15" customHeight="1" x14ac:dyDescent="0.3">
      <c r="A28" s="1"/>
      <c r="C28" s="103"/>
      <c r="D28" s="103"/>
      <c r="E28" s="103"/>
      <c r="F28" s="103"/>
      <c r="G28" s="103"/>
      <c r="H28" s="103"/>
      <c r="I28" s="103"/>
      <c r="J28" s="103"/>
      <c r="K28" s="103"/>
      <c r="M28" s="1"/>
      <c r="O28" s="62">
        <f t="shared" ca="1" si="0"/>
        <v>45935</v>
      </c>
      <c r="P28" s="63">
        <f t="shared" ca="1" si="0"/>
        <v>45936</v>
      </c>
      <c r="Q28" s="63">
        <f t="shared" ca="1" si="0"/>
        <v>45937</v>
      </c>
      <c r="R28" s="63">
        <f t="shared" ca="1" si="0"/>
        <v>45938</v>
      </c>
      <c r="S28" s="63">
        <f t="shared" ca="1" si="0"/>
        <v>45939</v>
      </c>
      <c r="T28" s="63">
        <f t="shared" ca="1" si="0"/>
        <v>45940</v>
      </c>
      <c r="U28" s="62">
        <f t="shared" ca="1" si="0"/>
        <v>45941</v>
      </c>
      <c r="V28" s="59"/>
      <c r="W28" s="59"/>
      <c r="X28" s="62">
        <f t="shared" ca="1" si="1"/>
        <v>45998</v>
      </c>
      <c r="Y28" s="63">
        <f t="shared" ca="1" si="1"/>
        <v>45999</v>
      </c>
      <c r="Z28" s="63">
        <f t="shared" ca="1" si="1"/>
        <v>46000</v>
      </c>
      <c r="AA28" s="63">
        <f t="shared" ca="1" si="1"/>
        <v>46001</v>
      </c>
      <c r="AB28" s="63">
        <f t="shared" ca="1" si="1"/>
        <v>46002</v>
      </c>
      <c r="AC28" s="63">
        <f t="shared" ca="1" si="1"/>
        <v>46003</v>
      </c>
      <c r="AD28" s="62">
        <f t="shared" ca="1" si="1"/>
        <v>46004</v>
      </c>
      <c r="AF28" s="1"/>
    </row>
    <row r="29" spans="1:42" ht="15" customHeight="1" x14ac:dyDescent="0.3">
      <c r="A29" s="1"/>
      <c r="C29" s="104"/>
      <c r="D29" s="104"/>
      <c r="E29" s="104"/>
      <c r="F29" s="104"/>
      <c r="G29" s="104"/>
      <c r="H29" s="104"/>
      <c r="I29" s="104"/>
      <c r="J29" s="104"/>
      <c r="K29" s="104"/>
      <c r="M29" s="1"/>
      <c r="O29" s="62">
        <f t="shared" ca="1" si="0"/>
        <v>45942</v>
      </c>
      <c r="P29" s="63">
        <f t="shared" ca="1" si="0"/>
        <v>45943</v>
      </c>
      <c r="Q29" s="63">
        <f t="shared" ca="1" si="0"/>
        <v>45944</v>
      </c>
      <c r="R29" s="63">
        <f t="shared" ca="1" si="0"/>
        <v>45945</v>
      </c>
      <c r="S29" s="63">
        <f t="shared" ca="1" si="0"/>
        <v>45946</v>
      </c>
      <c r="T29" s="63">
        <f t="shared" ca="1" si="0"/>
        <v>45947</v>
      </c>
      <c r="U29" s="62">
        <f t="shared" ca="1" si="0"/>
        <v>45948</v>
      </c>
      <c r="V29" s="59"/>
      <c r="W29" s="59"/>
      <c r="X29" s="62">
        <f t="shared" ca="1" si="1"/>
        <v>46005</v>
      </c>
      <c r="Y29" s="63">
        <f t="shared" ca="1" si="1"/>
        <v>46006</v>
      </c>
      <c r="Z29" s="63">
        <f t="shared" ca="1" si="1"/>
        <v>46007</v>
      </c>
      <c r="AA29" s="63">
        <f t="shared" ca="1" si="1"/>
        <v>46008</v>
      </c>
      <c r="AB29" s="63">
        <f t="shared" ca="1" si="1"/>
        <v>46009</v>
      </c>
      <c r="AC29" s="63">
        <f t="shared" ca="1" si="1"/>
        <v>46010</v>
      </c>
      <c r="AD29" s="62">
        <f t="shared" ca="1" si="1"/>
        <v>46011</v>
      </c>
      <c r="AF29" s="1"/>
    </row>
    <row r="30" spans="1:42" ht="15" customHeight="1" x14ac:dyDescent="0.3">
      <c r="A30" s="1"/>
      <c r="C30" s="103"/>
      <c r="D30" s="103"/>
      <c r="E30" s="103"/>
      <c r="F30" s="103"/>
      <c r="G30" s="103"/>
      <c r="H30" s="103"/>
      <c r="I30" s="103"/>
      <c r="J30" s="103"/>
      <c r="K30" s="103"/>
      <c r="M30" s="1"/>
      <c r="O30" s="62">
        <f t="shared" ca="1" si="0"/>
        <v>45949</v>
      </c>
      <c r="P30" s="63">
        <f t="shared" ca="1" si="0"/>
        <v>45950</v>
      </c>
      <c r="Q30" s="63">
        <f t="shared" ca="1" si="0"/>
        <v>45951</v>
      </c>
      <c r="R30" s="63">
        <f t="shared" ca="1" si="0"/>
        <v>45952</v>
      </c>
      <c r="S30" s="63">
        <f t="shared" ca="1" si="0"/>
        <v>45953</v>
      </c>
      <c r="T30" s="63">
        <f t="shared" ca="1" si="0"/>
        <v>45954</v>
      </c>
      <c r="U30" s="62">
        <f t="shared" ca="1" si="0"/>
        <v>45955</v>
      </c>
      <c r="V30" s="59"/>
      <c r="W30" s="59"/>
      <c r="X30" s="62">
        <f t="shared" ca="1" si="1"/>
        <v>46012</v>
      </c>
      <c r="Y30" s="63">
        <f t="shared" ca="1" si="1"/>
        <v>46013</v>
      </c>
      <c r="Z30" s="63">
        <f t="shared" ca="1" si="1"/>
        <v>46014</v>
      </c>
      <c r="AA30" s="63">
        <f t="shared" ca="1" si="1"/>
        <v>46015</v>
      </c>
      <c r="AB30" s="63">
        <f t="shared" ca="1" si="1"/>
        <v>46016</v>
      </c>
      <c r="AC30" s="63">
        <f t="shared" ca="1" si="1"/>
        <v>46017</v>
      </c>
      <c r="AD30" s="62">
        <f t="shared" ca="1" si="1"/>
        <v>46018</v>
      </c>
      <c r="AF30" s="1"/>
    </row>
    <row r="31" spans="1:42" ht="15" customHeight="1" x14ac:dyDescent="0.3">
      <c r="A31" s="1"/>
      <c r="C31" s="104"/>
      <c r="D31" s="104"/>
      <c r="E31" s="104"/>
      <c r="F31" s="104"/>
      <c r="G31" s="104"/>
      <c r="H31" s="104"/>
      <c r="I31" s="104"/>
      <c r="J31" s="104"/>
      <c r="K31" s="104"/>
      <c r="M31" s="1"/>
      <c r="O31" s="62">
        <f t="shared" ca="1" si="0"/>
        <v>45956</v>
      </c>
      <c r="P31" s="63">
        <f t="shared" ca="1" si="0"/>
        <v>45957</v>
      </c>
      <c r="Q31" s="63">
        <f t="shared" ca="1" si="0"/>
        <v>45958</v>
      </c>
      <c r="R31" s="63">
        <f t="shared" ca="1" si="0"/>
        <v>45959</v>
      </c>
      <c r="S31" s="63">
        <f t="shared" ca="1" si="0"/>
        <v>45960</v>
      </c>
      <c r="T31" s="63">
        <f t="shared" ca="1" si="0"/>
        <v>45961</v>
      </c>
      <c r="U31" s="62" t="str">
        <f t="shared" ca="1" si="0"/>
        <v/>
      </c>
      <c r="V31" s="59"/>
      <c r="W31" s="59"/>
      <c r="X31" s="62">
        <f t="shared" ca="1" si="1"/>
        <v>46019</v>
      </c>
      <c r="Y31" s="63">
        <f t="shared" ca="1" si="1"/>
        <v>46020</v>
      </c>
      <c r="Z31" s="63">
        <f t="shared" ca="1" si="1"/>
        <v>46021</v>
      </c>
      <c r="AA31" s="63">
        <f t="shared" ca="1" si="1"/>
        <v>46022</v>
      </c>
      <c r="AB31" s="63" t="str">
        <f t="shared" ca="1" si="1"/>
        <v/>
      </c>
      <c r="AC31" s="63" t="str">
        <f t="shared" ca="1" si="1"/>
        <v/>
      </c>
      <c r="AD31" s="63" t="str">
        <f t="shared" ca="1" si="1"/>
        <v/>
      </c>
      <c r="AF31" s="1"/>
    </row>
    <row r="32" spans="1:42" ht="15" customHeight="1" x14ac:dyDescent="0.3">
      <c r="A32" s="1"/>
      <c r="C32" s="71"/>
      <c r="D32" s="71"/>
      <c r="E32" s="71"/>
      <c r="F32" s="71"/>
      <c r="G32" s="71"/>
      <c r="H32" s="71"/>
      <c r="I32" s="71"/>
      <c r="J32" s="71"/>
      <c r="K32" s="71"/>
      <c r="M32" s="1"/>
      <c r="O32" s="62" t="str">
        <f t="shared" ca="1" si="0"/>
        <v/>
      </c>
      <c r="P32" s="63" t="str">
        <f t="shared" ca="1" si="0"/>
        <v/>
      </c>
      <c r="Q32" s="63" t="str">
        <f t="shared" ca="1" si="0"/>
        <v/>
      </c>
      <c r="R32" s="63" t="str">
        <f t="shared" ca="1" si="0"/>
        <v/>
      </c>
      <c r="S32" s="63" t="str">
        <f t="shared" ca="1" si="0"/>
        <v/>
      </c>
      <c r="T32" s="63" t="str">
        <f t="shared" ca="1" si="0"/>
        <v/>
      </c>
      <c r="U32" s="62" t="str">
        <f t="shared" ca="1" si="0"/>
        <v/>
      </c>
      <c r="V32" s="59"/>
      <c r="W32" s="59"/>
      <c r="X32" s="62" t="str">
        <f t="shared" ca="1" si="1"/>
        <v/>
      </c>
      <c r="Y32" s="63" t="str">
        <f t="shared" ca="1" si="1"/>
        <v/>
      </c>
      <c r="Z32" s="63" t="str">
        <f t="shared" ca="1" si="1"/>
        <v/>
      </c>
      <c r="AA32" s="63" t="str">
        <f t="shared" ca="1" si="1"/>
        <v/>
      </c>
      <c r="AB32" s="63" t="str">
        <f t="shared" ca="1" si="1"/>
        <v/>
      </c>
      <c r="AC32" s="63" t="str">
        <f t="shared" ca="1" si="1"/>
        <v/>
      </c>
      <c r="AD32" s="63" t="str">
        <f t="shared" ca="1" si="1"/>
        <v/>
      </c>
      <c r="AF32" s="1"/>
    </row>
    <row r="33" spans="1:32" x14ac:dyDescent="0.3">
      <c r="A33" s="1"/>
      <c r="M33" s="1"/>
      <c r="AF33" s="1"/>
    </row>
    <row r="34" spans="1:32" ht="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</sheetData>
  <mergeCells count="106">
    <mergeCell ref="K18:N18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I19:J19"/>
    <mergeCell ref="E20:F20"/>
    <mergeCell ref="G20:H20"/>
    <mergeCell ref="I20:J20"/>
    <mergeCell ref="K20:N20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I16:J16"/>
    <mergeCell ref="K17:N17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C6:D6"/>
    <mergeCell ref="E6:F6"/>
    <mergeCell ref="G6:H6"/>
    <mergeCell ref="I6:J6"/>
    <mergeCell ref="O6:V6"/>
    <mergeCell ref="W6:AD6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5:D5"/>
    <mergeCell ref="E5:F5"/>
    <mergeCell ref="G5:H5"/>
    <mergeCell ref="I5:J5"/>
    <mergeCell ref="K5:M5"/>
    <mergeCell ref="O5:V5"/>
    <mergeCell ref="C30:K31"/>
    <mergeCell ref="O20:V20"/>
    <mergeCell ref="W20:AD20"/>
    <mergeCell ref="C21:D21"/>
    <mergeCell ref="E21:F21"/>
    <mergeCell ref="G21:H21"/>
    <mergeCell ref="I21:J21"/>
    <mergeCell ref="K21:N21"/>
    <mergeCell ref="O21:V21"/>
    <mergeCell ref="W21:AD21"/>
  </mergeCells>
  <conditionalFormatting sqref="C5 E5 G5 I5 K5:L5 O5 W5 C7 E8 G8 I8 K8:L8 O8 W8 C10 E11 G11 I11 K11:L11 O11 W11 C13 E14 G14 I14 K14:L14 O14 W14 C16 E17 G17 I17 K17 O17 W17">
    <cfRule type="expression" dxfId="7" priority="3">
      <formula>MONTH(C5)&lt;&gt;MONTH($C$2)</formula>
    </cfRule>
    <cfRule type="expression" dxfId="6" priority="4">
      <formula>OR(WEEKDAY(C5,1)=1,WEEKDAY(C5,1)=7)</formula>
    </cfRule>
  </conditionalFormatting>
  <conditionalFormatting sqref="C19 E20 G20 I20 K20 O20 W20">
    <cfRule type="expression" dxfId="5" priority="1">
      <formula>MONTH(C19)&lt;&gt;MONTH($C$2)</formula>
    </cfRule>
    <cfRule type="expression" dxfId="4" priority="2">
      <formula>OR(WEEKDAY(C19,1)=1,WEEKDAY(C19,1)=7)</formula>
    </cfRule>
  </conditionalFormatting>
  <dataValidations count="7">
    <dataValidation allowBlank="1" showInputMessage="1" showErrorMessage="1" prompt="To change the calendar year, go to cell P8 in About sheet" sqref="C2:AD2" xr:uid="{B5D53C45-6775-4CBB-A58B-F32F738BC868}"/>
    <dataValidation allowBlank="1" showInputMessage="1" showErrorMessage="1" prompt="Calendar days are automatically updated" sqref="C5:D5" xr:uid="{7DBB70EF-2E5D-4E3C-B797-4A25A75433C9}"/>
    <dataValidation allowBlank="1" showInputMessage="1" showErrorMessage="1" prompt="To change the starting day of the week, go to cell P12 in About sheet" sqref="C4:D4" xr:uid="{D6E9D7AD-DFC2-4C75-8FD9-657DB9C05429}"/>
    <dataValidation allowBlank="1" showInputMessage="1" showErrorMessage="1" prompt="Enter daily notes below the calendar days, such as this cell" sqref="C6:D6" xr:uid="{51A8F318-8E30-4CD1-89A6-B7BF693A5367}"/>
    <dataValidation allowBlank="1" showInputMessage="1" showErrorMessage="1" prompt="Enter monthly notes in cells C24 to K28" sqref="C25:K26" xr:uid="{179A76F2-712D-4BB6-89DB-51C521CD4578}"/>
    <dataValidation allowBlank="1" showInputMessage="1" showErrorMessage="1" prompt="Previous month calendar" sqref="O25:U25" xr:uid="{3AE5BD46-3EFE-4E0C-B375-9D9945EB680E}"/>
    <dataValidation allowBlank="1" showInputMessage="1" showErrorMessage="1" prompt="Next month calendar" sqref="X25:AD25" xr:uid="{B338F5CA-9BAC-46C1-B051-46D9A1483089}"/>
  </dataValidations>
  <printOptions horizontalCentered="1"/>
  <pageMargins left="0.5" right="0.5" top="0.25" bottom="0.25" header="0.25" footer="0.25"/>
  <pageSetup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73FF-72FF-4A3C-BD30-6FDC598D2D03}">
  <sheetPr>
    <pageSetUpPr fitToPage="1"/>
  </sheetPr>
  <dimension ref="A1:AP34"/>
  <sheetViews>
    <sheetView showGridLines="0" zoomScale="51" zoomScaleNormal="100" workbookViewId="0"/>
  </sheetViews>
  <sheetFormatPr defaultColWidth="8.7265625" defaultRowHeight="13" x14ac:dyDescent="0.3"/>
  <cols>
    <col min="1" max="3" width="5.54296875" style="3" customWidth="1"/>
    <col min="4" max="4" width="15.54296875" style="3" customWidth="1"/>
    <col min="5" max="5" width="5.54296875" style="3" customWidth="1"/>
    <col min="6" max="6" width="15.54296875" style="3" customWidth="1"/>
    <col min="7" max="7" width="5.54296875" style="3" customWidth="1"/>
    <col min="8" max="8" width="15.54296875" style="3" customWidth="1"/>
    <col min="9" max="9" width="5.54296875" style="3" customWidth="1"/>
    <col min="10" max="10" width="15.54296875" style="3" customWidth="1"/>
    <col min="11" max="14" width="5.54296875" style="3" customWidth="1"/>
    <col min="15" max="30" width="2.54296875" style="3" customWidth="1"/>
    <col min="31" max="32" width="5.54296875" style="3" customWidth="1"/>
    <col min="33" max="33" width="17.1796875" style="3" customWidth="1"/>
    <col min="34" max="34" width="10.453125" style="3" customWidth="1"/>
    <col min="35" max="16384" width="8.7265625" style="3"/>
  </cols>
  <sheetData>
    <row r="1" spans="1:36" ht="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1.35">
      <c r="A2" s="29"/>
      <c r="C2" s="81">
        <f ca="1">DATE(About!P8,12,1)</f>
        <v>45992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F2" s="29"/>
    </row>
    <row r="3" spans="1:36" s="32" customFormat="1" ht="25" customHeight="1" x14ac:dyDescent="1.35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4">
      <c r="A4" s="35"/>
      <c r="C4" s="82">
        <f ca="1">C5</f>
        <v>45991</v>
      </c>
      <c r="D4" s="82"/>
      <c r="E4" s="82">
        <f ca="1">E5</f>
        <v>45992</v>
      </c>
      <c r="F4" s="82"/>
      <c r="G4" s="82">
        <f ca="1">G5</f>
        <v>45993</v>
      </c>
      <c r="H4" s="82"/>
      <c r="I4" s="82">
        <f ca="1">I5</f>
        <v>45994</v>
      </c>
      <c r="J4" s="82"/>
      <c r="K4" s="82">
        <f ca="1">K5</f>
        <v>45995</v>
      </c>
      <c r="L4" s="82"/>
      <c r="M4" s="82"/>
      <c r="N4" s="37"/>
      <c r="O4" s="82">
        <f ca="1">O5</f>
        <v>45996</v>
      </c>
      <c r="P4" s="82"/>
      <c r="Q4" s="82"/>
      <c r="R4" s="82"/>
      <c r="S4" s="82"/>
      <c r="T4" s="82"/>
      <c r="U4" s="82"/>
      <c r="V4" s="82"/>
      <c r="W4" s="82">
        <f ca="1">W5</f>
        <v>45997</v>
      </c>
      <c r="X4" s="82"/>
      <c r="Y4" s="82"/>
      <c r="Z4" s="82"/>
      <c r="AA4" s="82"/>
      <c r="AB4" s="82"/>
      <c r="AC4" s="82"/>
      <c r="AD4" s="82"/>
      <c r="AF4" s="38"/>
      <c r="AG4" s="39"/>
      <c r="AH4" s="39"/>
      <c r="AI4" s="39"/>
      <c r="AJ4" s="39"/>
    </row>
    <row r="5" spans="1:36" ht="25" customHeight="1" x14ac:dyDescent="0.35">
      <c r="A5" s="1"/>
      <c r="C5" s="101">
        <f ca="1">$C$2-(WEEKDAY($C$2,1)-(start_day-1))-IF((WEEKDAY($C$2,1)-(start_day-1))&lt;=0,7,0)+1</f>
        <v>45991</v>
      </c>
      <c r="D5" s="102"/>
      <c r="E5" s="101">
        <f ca="1">C5+1</f>
        <v>45992</v>
      </c>
      <c r="F5" s="102"/>
      <c r="G5" s="101">
        <f ca="1">E5+1</f>
        <v>45993</v>
      </c>
      <c r="H5" s="102"/>
      <c r="I5" s="101">
        <f ca="1">G5+1</f>
        <v>45994</v>
      </c>
      <c r="J5" s="102"/>
      <c r="K5" s="101">
        <f ca="1">I5+1</f>
        <v>45995</v>
      </c>
      <c r="L5" s="109"/>
      <c r="M5" s="109"/>
      <c r="N5" s="68"/>
      <c r="O5" s="101">
        <f ca="1">K5+1</f>
        <v>45996</v>
      </c>
      <c r="P5" s="109"/>
      <c r="Q5" s="109"/>
      <c r="R5" s="109"/>
      <c r="S5" s="109"/>
      <c r="T5" s="109"/>
      <c r="U5" s="109"/>
      <c r="V5" s="102"/>
      <c r="W5" s="101">
        <f ca="1">O5+1</f>
        <v>45997</v>
      </c>
      <c r="X5" s="109"/>
      <c r="Y5" s="109"/>
      <c r="Z5" s="109"/>
      <c r="AA5" s="109"/>
      <c r="AB5" s="109"/>
      <c r="AC5" s="109"/>
      <c r="AD5" s="102"/>
      <c r="AF5" s="40"/>
      <c r="AG5" s="41"/>
      <c r="AH5" s="41"/>
      <c r="AI5" s="41"/>
      <c r="AJ5" s="41"/>
    </row>
    <row r="6" spans="1:36" s="43" customFormat="1" ht="75" customHeight="1" x14ac:dyDescent="0.25">
      <c r="A6" s="42"/>
      <c r="C6" s="78"/>
      <c r="D6" s="80"/>
      <c r="E6" s="78"/>
      <c r="F6" s="80"/>
      <c r="G6" s="78"/>
      <c r="H6" s="80"/>
      <c r="I6" s="78"/>
      <c r="J6" s="80"/>
      <c r="K6" s="78"/>
      <c r="L6" s="79"/>
      <c r="M6" s="79"/>
      <c r="N6" s="80"/>
      <c r="O6" s="78"/>
      <c r="P6" s="79"/>
      <c r="Q6" s="79"/>
      <c r="R6" s="79"/>
      <c r="S6" s="79"/>
      <c r="T6" s="79"/>
      <c r="U6" s="79"/>
      <c r="V6" s="80"/>
      <c r="W6" s="78"/>
      <c r="X6" s="79"/>
      <c r="Y6" s="79"/>
      <c r="Z6" s="79"/>
      <c r="AA6" s="79"/>
      <c r="AB6" s="79"/>
      <c r="AC6" s="79"/>
      <c r="AD6" s="80"/>
      <c r="AE6" s="7"/>
      <c r="AF6" s="42"/>
    </row>
    <row r="7" spans="1:36" ht="10" customHeight="1" x14ac:dyDescent="0.3">
      <c r="A7" s="1"/>
      <c r="C7" s="101">
        <f ca="1">W5+1</f>
        <v>45998</v>
      </c>
      <c r="D7" s="102"/>
      <c r="E7" s="110"/>
      <c r="F7" s="111"/>
      <c r="G7" s="110"/>
      <c r="H7" s="111"/>
      <c r="I7" s="110"/>
      <c r="J7" s="111"/>
      <c r="K7" s="110"/>
      <c r="L7" s="112"/>
      <c r="M7" s="112"/>
      <c r="N7" s="69"/>
      <c r="O7" s="110"/>
      <c r="P7" s="112"/>
      <c r="Q7" s="112"/>
      <c r="R7" s="112"/>
      <c r="S7" s="112"/>
      <c r="T7" s="112"/>
      <c r="U7" s="112"/>
      <c r="V7" s="111"/>
      <c r="W7" s="110"/>
      <c r="X7" s="112"/>
      <c r="Y7" s="112"/>
      <c r="Z7" s="112"/>
      <c r="AA7" s="112"/>
      <c r="AB7" s="112"/>
      <c r="AC7" s="112"/>
      <c r="AD7" s="111"/>
      <c r="AF7" s="1"/>
    </row>
    <row r="8" spans="1:36" s="7" customFormat="1" ht="15" customHeight="1" x14ac:dyDescent="0.25">
      <c r="A8" s="4"/>
      <c r="C8" s="101"/>
      <c r="D8" s="102"/>
      <c r="E8" s="95">
        <f ca="1">C7+1</f>
        <v>45999</v>
      </c>
      <c r="F8" s="97"/>
      <c r="G8" s="95">
        <f ca="1">E8+1</f>
        <v>46000</v>
      </c>
      <c r="H8" s="97"/>
      <c r="I8" s="95">
        <f ca="1">G8+1</f>
        <v>46001</v>
      </c>
      <c r="J8" s="97"/>
      <c r="K8" s="95">
        <f ca="1">I8+1</f>
        <v>46002</v>
      </c>
      <c r="L8" s="96"/>
      <c r="M8" s="96"/>
      <c r="N8" s="49"/>
      <c r="O8" s="95">
        <f ca="1">K8+1</f>
        <v>46003</v>
      </c>
      <c r="P8" s="96"/>
      <c r="Q8" s="96"/>
      <c r="R8" s="96"/>
      <c r="S8" s="96"/>
      <c r="T8" s="96"/>
      <c r="U8" s="96"/>
      <c r="V8" s="97"/>
      <c r="W8" s="95">
        <f ca="1">O8+1</f>
        <v>46004</v>
      </c>
      <c r="X8" s="96"/>
      <c r="Y8" s="96"/>
      <c r="Z8" s="96"/>
      <c r="AA8" s="96"/>
      <c r="AB8" s="96"/>
      <c r="AC8" s="96"/>
      <c r="AD8" s="97"/>
      <c r="AF8" s="4"/>
    </row>
    <row r="9" spans="1:36" s="43" customFormat="1" ht="75" customHeight="1" x14ac:dyDescent="0.25">
      <c r="A9" s="42"/>
      <c r="C9" s="78"/>
      <c r="D9" s="80"/>
      <c r="E9" s="78"/>
      <c r="F9" s="80"/>
      <c r="G9" s="78"/>
      <c r="H9" s="80"/>
      <c r="I9" s="78"/>
      <c r="J9" s="80"/>
      <c r="K9" s="78"/>
      <c r="L9" s="79"/>
      <c r="M9" s="79"/>
      <c r="N9" s="80"/>
      <c r="O9" s="78"/>
      <c r="P9" s="79"/>
      <c r="Q9" s="79"/>
      <c r="R9" s="79"/>
      <c r="S9" s="79"/>
      <c r="T9" s="79"/>
      <c r="U9" s="79"/>
      <c r="V9" s="80"/>
      <c r="W9" s="78"/>
      <c r="X9" s="79"/>
      <c r="Y9" s="79"/>
      <c r="Z9" s="79"/>
      <c r="AA9" s="79"/>
      <c r="AB9" s="79"/>
      <c r="AC9" s="79"/>
      <c r="AD9" s="80"/>
      <c r="AE9" s="7"/>
      <c r="AF9" s="42"/>
    </row>
    <row r="10" spans="1:36" s="43" customFormat="1" ht="10" customHeight="1" x14ac:dyDescent="0.25">
      <c r="A10" s="42"/>
      <c r="C10" s="101">
        <f ca="1">W8+1</f>
        <v>46005</v>
      </c>
      <c r="D10" s="102"/>
      <c r="E10" s="45"/>
      <c r="F10" s="69"/>
      <c r="G10" s="45"/>
      <c r="H10" s="69"/>
      <c r="I10" s="45"/>
      <c r="J10" s="69"/>
      <c r="K10" s="45"/>
      <c r="L10" s="70"/>
      <c r="M10" s="70"/>
      <c r="N10" s="69"/>
      <c r="O10" s="45"/>
      <c r="P10" s="70"/>
      <c r="Q10" s="70"/>
      <c r="R10" s="70"/>
      <c r="S10" s="70"/>
      <c r="T10" s="70"/>
      <c r="U10" s="70"/>
      <c r="V10" s="69"/>
      <c r="W10" s="45"/>
      <c r="X10" s="70"/>
      <c r="Y10" s="70"/>
      <c r="Z10" s="70"/>
      <c r="AA10" s="70"/>
      <c r="AB10" s="70"/>
      <c r="AC10" s="70"/>
      <c r="AD10" s="69"/>
      <c r="AE10" s="7"/>
      <c r="AF10" s="42"/>
    </row>
    <row r="11" spans="1:36" s="7" customFormat="1" ht="15" customHeight="1" x14ac:dyDescent="0.3">
      <c r="A11" s="4"/>
      <c r="C11" s="101"/>
      <c r="D11" s="102"/>
      <c r="E11" s="95">
        <f ca="1">C10+1</f>
        <v>46006</v>
      </c>
      <c r="F11" s="97"/>
      <c r="G11" s="95">
        <f ca="1">E11+1</f>
        <v>46007</v>
      </c>
      <c r="H11" s="97"/>
      <c r="I11" s="95">
        <f ca="1">G11+1</f>
        <v>46008</v>
      </c>
      <c r="J11" s="97"/>
      <c r="K11" s="95">
        <f ca="1">I11+1</f>
        <v>46009</v>
      </c>
      <c r="L11" s="96"/>
      <c r="M11" s="96"/>
      <c r="N11" s="49"/>
      <c r="O11" s="95">
        <f ca="1">K11+1</f>
        <v>46010</v>
      </c>
      <c r="P11" s="96"/>
      <c r="Q11" s="96"/>
      <c r="R11" s="96"/>
      <c r="S11" s="96"/>
      <c r="T11" s="96"/>
      <c r="U11" s="96"/>
      <c r="V11" s="97"/>
      <c r="W11" s="95">
        <f ca="1">O11+1</f>
        <v>46011</v>
      </c>
      <c r="X11" s="96"/>
      <c r="Y11" s="96"/>
      <c r="Z11" s="96"/>
      <c r="AA11" s="96"/>
      <c r="AB11" s="96"/>
      <c r="AC11" s="96"/>
      <c r="AD11" s="97"/>
      <c r="AF11" s="4"/>
      <c r="AJ11" s="3"/>
    </row>
    <row r="12" spans="1:36" s="43" customFormat="1" ht="75" customHeight="1" x14ac:dyDescent="0.25">
      <c r="A12" s="42"/>
      <c r="C12" s="78"/>
      <c r="D12" s="80"/>
      <c r="E12" s="78"/>
      <c r="F12" s="80"/>
      <c r="G12" s="78"/>
      <c r="H12" s="80"/>
      <c r="I12" s="78"/>
      <c r="J12" s="80"/>
      <c r="K12" s="78"/>
      <c r="L12" s="79"/>
      <c r="M12" s="79"/>
      <c r="N12" s="80"/>
      <c r="O12" s="78"/>
      <c r="P12" s="79"/>
      <c r="Q12" s="79"/>
      <c r="R12" s="79"/>
      <c r="S12" s="79"/>
      <c r="T12" s="79"/>
      <c r="U12" s="79"/>
      <c r="V12" s="80"/>
      <c r="W12" s="78"/>
      <c r="X12" s="79"/>
      <c r="Y12" s="79"/>
      <c r="Z12" s="79"/>
      <c r="AA12" s="79"/>
      <c r="AB12" s="79"/>
      <c r="AC12" s="79"/>
      <c r="AD12" s="80"/>
      <c r="AE12" s="7"/>
      <c r="AF12" s="42"/>
    </row>
    <row r="13" spans="1:36" s="43" customFormat="1" ht="10" customHeight="1" x14ac:dyDescent="0.25">
      <c r="A13" s="42"/>
      <c r="C13" s="101">
        <f ca="1">W11+1</f>
        <v>46012</v>
      </c>
      <c r="D13" s="102"/>
      <c r="E13" s="45"/>
      <c r="F13" s="69"/>
      <c r="G13" s="45"/>
      <c r="H13" s="69"/>
      <c r="I13" s="45"/>
      <c r="J13" s="69"/>
      <c r="K13" s="45"/>
      <c r="L13" s="70"/>
      <c r="M13" s="70"/>
      <c r="N13" s="69"/>
      <c r="O13" s="45"/>
      <c r="P13" s="70"/>
      <c r="Q13" s="70"/>
      <c r="R13" s="70"/>
      <c r="S13" s="70"/>
      <c r="T13" s="70"/>
      <c r="U13" s="70"/>
      <c r="V13" s="69"/>
      <c r="W13" s="45"/>
      <c r="X13" s="70"/>
      <c r="Y13" s="70"/>
      <c r="Z13" s="70"/>
      <c r="AA13" s="70"/>
      <c r="AB13" s="70"/>
      <c r="AC13" s="70"/>
      <c r="AD13" s="69"/>
      <c r="AE13" s="7"/>
      <c r="AF13" s="42"/>
    </row>
    <row r="14" spans="1:36" s="7" customFormat="1" ht="15" customHeight="1" x14ac:dyDescent="0.25">
      <c r="A14" s="4"/>
      <c r="C14" s="101"/>
      <c r="D14" s="102"/>
      <c r="E14" s="95">
        <f ca="1">C13+1</f>
        <v>46013</v>
      </c>
      <c r="F14" s="97"/>
      <c r="G14" s="95">
        <f ca="1">E14+1</f>
        <v>46014</v>
      </c>
      <c r="H14" s="97"/>
      <c r="I14" s="95">
        <f ca="1">G14+1</f>
        <v>46015</v>
      </c>
      <c r="J14" s="97"/>
      <c r="K14" s="95">
        <f ca="1">I14+1</f>
        <v>46016</v>
      </c>
      <c r="L14" s="96"/>
      <c r="M14" s="96"/>
      <c r="N14" s="49"/>
      <c r="O14" s="95">
        <f ca="1">K14+1</f>
        <v>46017</v>
      </c>
      <c r="P14" s="96"/>
      <c r="Q14" s="96"/>
      <c r="R14" s="96"/>
      <c r="S14" s="96"/>
      <c r="T14" s="96"/>
      <c r="U14" s="96"/>
      <c r="V14" s="97"/>
      <c r="W14" s="95">
        <f ca="1">O14+1</f>
        <v>46018</v>
      </c>
      <c r="X14" s="96"/>
      <c r="Y14" s="96"/>
      <c r="Z14" s="96"/>
      <c r="AA14" s="96"/>
      <c r="AB14" s="96"/>
      <c r="AC14" s="96"/>
      <c r="AD14" s="97"/>
      <c r="AF14" s="4"/>
    </row>
    <row r="15" spans="1:36" s="43" customFormat="1" ht="75" customHeight="1" x14ac:dyDescent="0.25">
      <c r="A15" s="42"/>
      <c r="C15" s="78"/>
      <c r="D15" s="80"/>
      <c r="E15" s="78"/>
      <c r="F15" s="80"/>
      <c r="G15" s="78"/>
      <c r="H15" s="80"/>
      <c r="I15" s="78"/>
      <c r="J15" s="80"/>
      <c r="K15" s="78"/>
      <c r="L15" s="79"/>
      <c r="M15" s="79"/>
      <c r="N15" s="80"/>
      <c r="O15" s="78"/>
      <c r="P15" s="79"/>
      <c r="Q15" s="79"/>
      <c r="R15" s="79"/>
      <c r="S15" s="79"/>
      <c r="T15" s="79"/>
      <c r="U15" s="79"/>
      <c r="V15" s="80"/>
      <c r="W15" s="78"/>
      <c r="X15" s="79"/>
      <c r="Y15" s="79"/>
      <c r="Z15" s="79"/>
      <c r="AA15" s="79"/>
      <c r="AB15" s="79"/>
      <c r="AC15" s="79"/>
      <c r="AD15" s="80"/>
      <c r="AE15" s="7"/>
      <c r="AF15" s="42"/>
    </row>
    <row r="16" spans="1:36" s="43" customFormat="1" ht="10" customHeight="1" x14ac:dyDescent="0.25">
      <c r="A16" s="42"/>
      <c r="C16" s="101">
        <f ca="1">W14+1</f>
        <v>46019</v>
      </c>
      <c r="D16" s="102"/>
      <c r="E16" s="45"/>
      <c r="F16" s="69"/>
      <c r="G16" s="45"/>
      <c r="H16" s="69"/>
      <c r="I16" s="46"/>
      <c r="J16" s="47"/>
      <c r="K16" s="46"/>
      <c r="L16" s="48"/>
      <c r="M16" s="48"/>
      <c r="N16" s="47"/>
      <c r="O16" s="46"/>
      <c r="P16" s="48"/>
      <c r="Q16" s="48"/>
      <c r="R16" s="48"/>
      <c r="S16" s="48"/>
      <c r="T16" s="48"/>
      <c r="U16" s="48"/>
      <c r="V16" s="47"/>
      <c r="W16" s="45"/>
      <c r="X16" s="70"/>
      <c r="Y16" s="70"/>
      <c r="Z16" s="70"/>
      <c r="AA16" s="70"/>
      <c r="AB16" s="70"/>
      <c r="AC16" s="70"/>
      <c r="AD16" s="69"/>
      <c r="AE16" s="7"/>
      <c r="AF16" s="42"/>
    </row>
    <row r="17" spans="1:42" s="7" customFormat="1" ht="15" customHeight="1" x14ac:dyDescent="0.25">
      <c r="A17" s="4"/>
      <c r="C17" s="101"/>
      <c r="D17" s="102"/>
      <c r="E17" s="95">
        <f ca="1">C16+1</f>
        <v>46020</v>
      </c>
      <c r="F17" s="97"/>
      <c r="G17" s="95">
        <f ca="1">E17+1</f>
        <v>46021</v>
      </c>
      <c r="H17" s="97"/>
      <c r="I17" s="95">
        <f ca="1">G17+1</f>
        <v>46022</v>
      </c>
      <c r="J17" s="97"/>
      <c r="K17" s="95">
        <f ca="1">I17+1</f>
        <v>46023</v>
      </c>
      <c r="L17" s="96"/>
      <c r="M17" s="96"/>
      <c r="N17" s="97"/>
      <c r="O17" s="95">
        <f ca="1">K17+1</f>
        <v>46024</v>
      </c>
      <c r="P17" s="96"/>
      <c r="Q17" s="96"/>
      <c r="R17" s="96"/>
      <c r="S17" s="96"/>
      <c r="T17" s="96"/>
      <c r="U17" s="96"/>
      <c r="V17" s="97"/>
      <c r="W17" s="95">
        <f ca="1">O17+1</f>
        <v>46025</v>
      </c>
      <c r="X17" s="96"/>
      <c r="Y17" s="96"/>
      <c r="Z17" s="96"/>
      <c r="AA17" s="96"/>
      <c r="AB17" s="96"/>
      <c r="AC17" s="96"/>
      <c r="AD17" s="97"/>
      <c r="AF17" s="4"/>
    </row>
    <row r="18" spans="1:42" s="43" customFormat="1" ht="75" customHeight="1" x14ac:dyDescent="0.3">
      <c r="A18" s="42"/>
      <c r="C18" s="78"/>
      <c r="D18" s="80"/>
      <c r="E18" s="78"/>
      <c r="F18" s="80"/>
      <c r="G18" s="78"/>
      <c r="H18" s="80"/>
      <c r="I18" s="78"/>
      <c r="J18" s="80"/>
      <c r="K18" s="78"/>
      <c r="L18" s="79"/>
      <c r="M18" s="79"/>
      <c r="N18" s="80"/>
      <c r="O18" s="78"/>
      <c r="P18" s="79"/>
      <c r="Q18" s="79"/>
      <c r="R18" s="79"/>
      <c r="S18" s="79"/>
      <c r="T18" s="79"/>
      <c r="U18" s="79"/>
      <c r="V18" s="80"/>
      <c r="W18" s="78"/>
      <c r="X18" s="79"/>
      <c r="Y18" s="79"/>
      <c r="Z18" s="79"/>
      <c r="AA18" s="79"/>
      <c r="AB18" s="79"/>
      <c r="AC18" s="79"/>
      <c r="AD18" s="80"/>
      <c r="AE18" s="7"/>
      <c r="AF18" s="42"/>
      <c r="AP18" s="3"/>
    </row>
    <row r="19" spans="1:42" s="43" customFormat="1" ht="10" customHeight="1" x14ac:dyDescent="0.25">
      <c r="A19" s="42"/>
      <c r="C19" s="101">
        <f ca="1">W17+1</f>
        <v>46026</v>
      </c>
      <c r="D19" s="102"/>
      <c r="E19" s="45"/>
      <c r="F19" s="69"/>
      <c r="G19" s="45"/>
      <c r="H19" s="69"/>
      <c r="I19" s="46"/>
      <c r="J19" s="47"/>
      <c r="K19" s="46"/>
      <c r="L19" s="48"/>
      <c r="M19" s="48"/>
      <c r="N19" s="47"/>
      <c r="O19" s="46"/>
      <c r="P19" s="48"/>
      <c r="Q19" s="48"/>
      <c r="R19" s="48"/>
      <c r="S19" s="48"/>
      <c r="T19" s="48"/>
      <c r="U19" s="48"/>
      <c r="V19" s="47"/>
      <c r="W19" s="45"/>
      <c r="X19" s="70"/>
      <c r="Y19" s="70"/>
      <c r="Z19" s="70"/>
      <c r="AA19" s="70"/>
      <c r="AB19" s="70"/>
      <c r="AC19" s="70"/>
      <c r="AD19" s="69"/>
      <c r="AE19" s="7"/>
      <c r="AF19" s="42"/>
    </row>
    <row r="20" spans="1:42" s="7" customFormat="1" ht="15" customHeight="1" x14ac:dyDescent="0.25">
      <c r="A20" s="4"/>
      <c r="C20" s="101"/>
      <c r="D20" s="102"/>
      <c r="E20" s="95">
        <f ca="1">C19+1</f>
        <v>46027</v>
      </c>
      <c r="F20" s="97"/>
      <c r="G20" s="95">
        <f ca="1">E20+1</f>
        <v>46028</v>
      </c>
      <c r="H20" s="97"/>
      <c r="I20" s="95">
        <f ca="1">G20+1</f>
        <v>46029</v>
      </c>
      <c r="J20" s="97"/>
      <c r="K20" s="95">
        <f ca="1">I20+1</f>
        <v>46030</v>
      </c>
      <c r="L20" s="96"/>
      <c r="M20" s="96"/>
      <c r="N20" s="97"/>
      <c r="O20" s="95">
        <f ca="1">K20+1</f>
        <v>46031</v>
      </c>
      <c r="P20" s="96"/>
      <c r="Q20" s="96"/>
      <c r="R20" s="96"/>
      <c r="S20" s="96"/>
      <c r="T20" s="96"/>
      <c r="U20" s="96"/>
      <c r="V20" s="97"/>
      <c r="W20" s="95">
        <f ca="1">O20+1</f>
        <v>46032</v>
      </c>
      <c r="X20" s="96"/>
      <c r="Y20" s="96"/>
      <c r="Z20" s="96"/>
      <c r="AA20" s="96"/>
      <c r="AB20" s="96"/>
      <c r="AC20" s="96"/>
      <c r="AD20" s="97"/>
      <c r="AF20" s="4"/>
    </row>
    <row r="21" spans="1:42" s="43" customFormat="1" ht="75" customHeight="1" x14ac:dyDescent="0.3">
      <c r="A21" s="42"/>
      <c r="C21" s="78"/>
      <c r="D21" s="80"/>
      <c r="E21" s="78"/>
      <c r="F21" s="80"/>
      <c r="G21" s="78"/>
      <c r="H21" s="80"/>
      <c r="I21" s="78"/>
      <c r="J21" s="80"/>
      <c r="K21" s="78"/>
      <c r="L21" s="79"/>
      <c r="M21" s="79"/>
      <c r="N21" s="80"/>
      <c r="O21" s="78"/>
      <c r="P21" s="79"/>
      <c r="Q21" s="79"/>
      <c r="R21" s="79"/>
      <c r="S21" s="79"/>
      <c r="T21" s="79"/>
      <c r="U21" s="79"/>
      <c r="V21" s="80"/>
      <c r="W21" s="78"/>
      <c r="X21" s="79"/>
      <c r="Y21" s="79"/>
      <c r="Z21" s="79"/>
      <c r="AA21" s="79"/>
      <c r="AB21" s="79"/>
      <c r="AC21" s="79"/>
      <c r="AD21" s="80"/>
      <c r="AE21" s="7"/>
      <c r="AF21" s="42"/>
      <c r="AP21" s="3"/>
    </row>
    <row r="22" spans="1:42" s="7" customFormat="1" ht="25" customHeight="1" x14ac:dyDescent="0.25">
      <c r="A22" s="4"/>
      <c r="C22" s="50"/>
      <c r="D22" s="50"/>
      <c r="E22" s="50"/>
      <c r="F22" s="50"/>
      <c r="G22" s="51"/>
      <c r="H22" s="52"/>
      <c r="I22" s="52"/>
      <c r="J22" s="52"/>
      <c r="K22" s="52"/>
      <c r="L22" s="52"/>
      <c r="M22" s="52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F22" s="4"/>
    </row>
    <row r="23" spans="1:42" s="7" customFormat="1" ht="25" customHeight="1" x14ac:dyDescent="0.25">
      <c r="A23" s="4"/>
      <c r="B23" s="4"/>
      <c r="C23" s="54"/>
      <c r="D23" s="54"/>
      <c r="E23" s="54"/>
      <c r="F23" s="54"/>
      <c r="G23" s="55"/>
      <c r="H23" s="56"/>
      <c r="I23" s="56"/>
      <c r="J23" s="56"/>
      <c r="K23" s="56"/>
      <c r="L23" s="56"/>
      <c r="M23" s="56"/>
      <c r="N23" s="5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4"/>
      <c r="AF23" s="4"/>
    </row>
    <row r="24" spans="1:42" ht="25" customHeight="1" x14ac:dyDescent="0.3">
      <c r="A24" s="1"/>
      <c r="M24" s="1"/>
      <c r="AF24" s="1"/>
    </row>
    <row r="25" spans="1:42" ht="20.149999999999999" customHeight="1" x14ac:dyDescent="0.3">
      <c r="A25" s="1"/>
      <c r="C25" s="105" t="s">
        <v>3</v>
      </c>
      <c r="D25" s="105"/>
      <c r="E25" s="105"/>
      <c r="F25" s="105"/>
      <c r="G25" s="105"/>
      <c r="H25" s="105"/>
      <c r="I25" s="105"/>
      <c r="J25" s="105"/>
      <c r="K25" s="105"/>
      <c r="L25" s="58"/>
      <c r="M25" s="1"/>
      <c r="O25" s="106">
        <f ca="1">DATE(YEAR(C2),MONTH(C2)-1,1)</f>
        <v>45962</v>
      </c>
      <c r="P25" s="106"/>
      <c r="Q25" s="106"/>
      <c r="R25" s="106"/>
      <c r="S25" s="106"/>
      <c r="T25" s="106"/>
      <c r="U25" s="106"/>
      <c r="V25" s="59"/>
      <c r="W25" s="59"/>
      <c r="X25" s="106">
        <f ca="1">DATE(YEAR(C2),MONTH(C2)+1,1)</f>
        <v>46023</v>
      </c>
      <c r="Y25" s="106"/>
      <c r="Z25" s="106"/>
      <c r="AA25" s="106"/>
      <c r="AB25" s="106"/>
      <c r="AC25" s="106"/>
      <c r="AD25" s="106"/>
      <c r="AF25" s="1"/>
    </row>
    <row r="26" spans="1:42" ht="15" customHeight="1" x14ac:dyDescent="0.3">
      <c r="A26" s="1"/>
      <c r="C26" s="105"/>
      <c r="D26" s="105"/>
      <c r="E26" s="105"/>
      <c r="F26" s="105"/>
      <c r="G26" s="105"/>
      <c r="H26" s="105"/>
      <c r="I26" s="105"/>
      <c r="J26" s="105"/>
      <c r="K26" s="105"/>
      <c r="L26" s="58"/>
      <c r="M26" s="1"/>
      <c r="O26" s="60" t="str">
        <f>INDEX({"S";"M";"T";"W";"T";"F";"S"},1+MOD(start_day+1-2,7))</f>
        <v>S</v>
      </c>
      <c r="P26" s="60" t="str">
        <f>INDEX({"S";"M";"T";"W";"T";"F";"S"},1+MOD(start_day+2-2,7))</f>
        <v>M</v>
      </c>
      <c r="Q26" s="60" t="str">
        <f>INDEX({"S";"M";"T";"W";"T";"F";"S"},1+MOD(start_day+3-2,7))</f>
        <v>T</v>
      </c>
      <c r="R26" s="60" t="str">
        <f>INDEX({"S";"M";"T";"W";"T";"F";"S"},1+MOD(start_day+4-2,7))</f>
        <v>W</v>
      </c>
      <c r="S26" s="60" t="str">
        <f>INDEX({"S";"M";"T";"W";"T";"F";"S"},1+MOD(start_day+5-2,7))</f>
        <v>T</v>
      </c>
      <c r="T26" s="60" t="str">
        <f>INDEX({"S";"M";"T";"W";"T";"F";"S"},1+MOD(start_day+6-2,7))</f>
        <v>F</v>
      </c>
      <c r="U26" s="60" t="str">
        <f>INDEX({"S";"M";"T";"W";"T";"F";"S"},1+MOD(start_day+7-2,7))</f>
        <v>S</v>
      </c>
      <c r="V26" s="61"/>
      <c r="W26" s="61"/>
      <c r="X26" s="60" t="str">
        <f>INDEX({"S";"M";"T";"W";"T";"F";"S"},1+MOD(start_day+1-2,7))</f>
        <v>S</v>
      </c>
      <c r="Y26" s="60" t="str">
        <f>INDEX({"S";"M";"T";"W";"T";"F";"S"},1+MOD(start_day+2-2,7))</f>
        <v>M</v>
      </c>
      <c r="Z26" s="60" t="str">
        <f>INDEX({"S";"M";"T";"W";"T";"F";"S"},1+MOD(start_day+3-2,7))</f>
        <v>T</v>
      </c>
      <c r="AA26" s="60" t="str">
        <f>INDEX({"S";"M";"T";"W";"T";"F";"S"},1+MOD(start_day+4-2,7))</f>
        <v>W</v>
      </c>
      <c r="AB26" s="60" t="str">
        <f>INDEX({"S";"M";"T";"W";"T";"F";"S"},1+MOD(start_day+5-2,7))</f>
        <v>T</v>
      </c>
      <c r="AC26" s="60" t="str">
        <f>INDEX({"S";"M";"T";"W";"T";"F";"S"},1+MOD(start_day+6-2,7))</f>
        <v>F</v>
      </c>
      <c r="AD26" s="60" t="str">
        <f>INDEX({"S";"M";"T";"W";"T";"F";"S"},1+MOD(start_day+7-2,7))</f>
        <v>S</v>
      </c>
      <c r="AF26" s="1"/>
    </row>
    <row r="27" spans="1:42" ht="15" customHeight="1" x14ac:dyDescent="0.3">
      <c r="A27" s="1"/>
      <c r="C27" s="104"/>
      <c r="D27" s="104"/>
      <c r="E27" s="104"/>
      <c r="F27" s="104"/>
      <c r="G27" s="104"/>
      <c r="H27" s="104"/>
      <c r="I27" s="104"/>
      <c r="J27" s="104"/>
      <c r="K27" s="104"/>
      <c r="M27" s="1"/>
      <c r="O27" s="62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3" t="str">
        <f t="shared" ca="1" si="0"/>
        <v/>
      </c>
      <c r="Q27" s="63" t="str">
        <f t="shared" ca="1" si="0"/>
        <v/>
      </c>
      <c r="R27" s="63" t="str">
        <f t="shared" ca="1" si="0"/>
        <v/>
      </c>
      <c r="S27" s="63" t="str">
        <f t="shared" ca="1" si="0"/>
        <v/>
      </c>
      <c r="T27" s="63" t="str">
        <f t="shared" ca="1" si="0"/>
        <v/>
      </c>
      <c r="U27" s="62">
        <f t="shared" ca="1" si="0"/>
        <v>45962</v>
      </c>
      <c r="V27" s="59"/>
      <c r="W27" s="59"/>
      <c r="X27" s="63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3" t="str">
        <f t="shared" ca="1" si="1"/>
        <v/>
      </c>
      <c r="Z27" s="63" t="str">
        <f t="shared" ca="1" si="1"/>
        <v/>
      </c>
      <c r="AA27" s="63" t="str">
        <f t="shared" ca="1" si="1"/>
        <v/>
      </c>
      <c r="AB27" s="63">
        <f t="shared" ca="1" si="1"/>
        <v>46023</v>
      </c>
      <c r="AC27" s="63">
        <f t="shared" ca="1" si="1"/>
        <v>46024</v>
      </c>
      <c r="AD27" s="62">
        <f t="shared" ca="1" si="1"/>
        <v>46025</v>
      </c>
      <c r="AF27" s="1"/>
    </row>
    <row r="28" spans="1:42" ht="15" customHeight="1" x14ac:dyDescent="0.3">
      <c r="A28" s="1"/>
      <c r="C28" s="103"/>
      <c r="D28" s="103"/>
      <c r="E28" s="103"/>
      <c r="F28" s="103"/>
      <c r="G28" s="103"/>
      <c r="H28" s="103"/>
      <c r="I28" s="103"/>
      <c r="J28" s="103"/>
      <c r="K28" s="103"/>
      <c r="M28" s="1"/>
      <c r="O28" s="62">
        <f t="shared" ca="1" si="0"/>
        <v>45963</v>
      </c>
      <c r="P28" s="63">
        <f t="shared" ca="1" si="0"/>
        <v>45964</v>
      </c>
      <c r="Q28" s="63">
        <f t="shared" ca="1" si="0"/>
        <v>45965</v>
      </c>
      <c r="R28" s="63">
        <f t="shared" ca="1" si="0"/>
        <v>45966</v>
      </c>
      <c r="S28" s="63">
        <f t="shared" ca="1" si="0"/>
        <v>45967</v>
      </c>
      <c r="T28" s="63">
        <f t="shared" ca="1" si="0"/>
        <v>45968</v>
      </c>
      <c r="U28" s="62">
        <f t="shared" ca="1" si="0"/>
        <v>45969</v>
      </c>
      <c r="V28" s="59"/>
      <c r="W28" s="59"/>
      <c r="X28" s="62">
        <f t="shared" ca="1" si="1"/>
        <v>46026</v>
      </c>
      <c r="Y28" s="63">
        <f t="shared" ca="1" si="1"/>
        <v>46027</v>
      </c>
      <c r="Z28" s="63">
        <f t="shared" ca="1" si="1"/>
        <v>46028</v>
      </c>
      <c r="AA28" s="63">
        <f t="shared" ca="1" si="1"/>
        <v>46029</v>
      </c>
      <c r="AB28" s="63">
        <f t="shared" ca="1" si="1"/>
        <v>46030</v>
      </c>
      <c r="AC28" s="63">
        <f t="shared" ca="1" si="1"/>
        <v>46031</v>
      </c>
      <c r="AD28" s="62">
        <f t="shared" ca="1" si="1"/>
        <v>46032</v>
      </c>
      <c r="AF28" s="1"/>
    </row>
    <row r="29" spans="1:42" ht="15" customHeight="1" x14ac:dyDescent="0.3">
      <c r="A29" s="1"/>
      <c r="C29" s="104"/>
      <c r="D29" s="104"/>
      <c r="E29" s="104"/>
      <c r="F29" s="104"/>
      <c r="G29" s="104"/>
      <c r="H29" s="104"/>
      <c r="I29" s="104"/>
      <c r="J29" s="104"/>
      <c r="K29" s="104"/>
      <c r="M29" s="1"/>
      <c r="O29" s="62">
        <f t="shared" ca="1" si="0"/>
        <v>45970</v>
      </c>
      <c r="P29" s="63">
        <f t="shared" ca="1" si="0"/>
        <v>45971</v>
      </c>
      <c r="Q29" s="63">
        <f t="shared" ca="1" si="0"/>
        <v>45972</v>
      </c>
      <c r="R29" s="63">
        <f t="shared" ca="1" si="0"/>
        <v>45973</v>
      </c>
      <c r="S29" s="63">
        <f t="shared" ca="1" si="0"/>
        <v>45974</v>
      </c>
      <c r="T29" s="63">
        <f t="shared" ca="1" si="0"/>
        <v>45975</v>
      </c>
      <c r="U29" s="62">
        <f t="shared" ca="1" si="0"/>
        <v>45976</v>
      </c>
      <c r="V29" s="59"/>
      <c r="W29" s="59"/>
      <c r="X29" s="62">
        <f t="shared" ca="1" si="1"/>
        <v>46033</v>
      </c>
      <c r="Y29" s="63">
        <f t="shared" ca="1" si="1"/>
        <v>46034</v>
      </c>
      <c r="Z29" s="63">
        <f t="shared" ca="1" si="1"/>
        <v>46035</v>
      </c>
      <c r="AA29" s="63">
        <f t="shared" ca="1" si="1"/>
        <v>46036</v>
      </c>
      <c r="AB29" s="63">
        <f t="shared" ca="1" si="1"/>
        <v>46037</v>
      </c>
      <c r="AC29" s="63">
        <f t="shared" ca="1" si="1"/>
        <v>46038</v>
      </c>
      <c r="AD29" s="62">
        <f t="shared" ca="1" si="1"/>
        <v>46039</v>
      </c>
      <c r="AF29" s="1"/>
    </row>
    <row r="30" spans="1:42" ht="15" customHeight="1" x14ac:dyDescent="0.3">
      <c r="A30" s="1"/>
      <c r="C30" s="103"/>
      <c r="D30" s="103"/>
      <c r="E30" s="103"/>
      <c r="F30" s="103"/>
      <c r="G30" s="103"/>
      <c r="H30" s="103"/>
      <c r="I30" s="103"/>
      <c r="J30" s="103"/>
      <c r="K30" s="103"/>
      <c r="M30" s="1"/>
      <c r="O30" s="62">
        <f t="shared" ca="1" si="0"/>
        <v>45977</v>
      </c>
      <c r="P30" s="63">
        <f t="shared" ca="1" si="0"/>
        <v>45978</v>
      </c>
      <c r="Q30" s="63">
        <f t="shared" ca="1" si="0"/>
        <v>45979</v>
      </c>
      <c r="R30" s="63">
        <f t="shared" ca="1" si="0"/>
        <v>45980</v>
      </c>
      <c r="S30" s="63">
        <f t="shared" ca="1" si="0"/>
        <v>45981</v>
      </c>
      <c r="T30" s="63">
        <f t="shared" ca="1" si="0"/>
        <v>45982</v>
      </c>
      <c r="U30" s="62">
        <f t="shared" ca="1" si="0"/>
        <v>45983</v>
      </c>
      <c r="V30" s="59"/>
      <c r="W30" s="59"/>
      <c r="X30" s="62">
        <f t="shared" ca="1" si="1"/>
        <v>46040</v>
      </c>
      <c r="Y30" s="63">
        <f t="shared" ca="1" si="1"/>
        <v>46041</v>
      </c>
      <c r="Z30" s="63">
        <f t="shared" ca="1" si="1"/>
        <v>46042</v>
      </c>
      <c r="AA30" s="63">
        <f t="shared" ca="1" si="1"/>
        <v>46043</v>
      </c>
      <c r="AB30" s="63">
        <f t="shared" ca="1" si="1"/>
        <v>46044</v>
      </c>
      <c r="AC30" s="63">
        <f t="shared" ca="1" si="1"/>
        <v>46045</v>
      </c>
      <c r="AD30" s="62">
        <f t="shared" ca="1" si="1"/>
        <v>46046</v>
      </c>
      <c r="AF30" s="1"/>
    </row>
    <row r="31" spans="1:42" ht="15" customHeight="1" x14ac:dyDescent="0.3">
      <c r="A31" s="1"/>
      <c r="C31" s="104"/>
      <c r="D31" s="104"/>
      <c r="E31" s="104"/>
      <c r="F31" s="104"/>
      <c r="G31" s="104"/>
      <c r="H31" s="104"/>
      <c r="I31" s="104"/>
      <c r="J31" s="104"/>
      <c r="K31" s="104"/>
      <c r="M31" s="1"/>
      <c r="O31" s="62">
        <f t="shared" ca="1" si="0"/>
        <v>45984</v>
      </c>
      <c r="P31" s="63">
        <f t="shared" ca="1" si="0"/>
        <v>45985</v>
      </c>
      <c r="Q31" s="63">
        <f t="shared" ca="1" si="0"/>
        <v>45986</v>
      </c>
      <c r="R31" s="63">
        <f t="shared" ca="1" si="0"/>
        <v>45987</v>
      </c>
      <c r="S31" s="63">
        <f t="shared" ca="1" si="0"/>
        <v>45988</v>
      </c>
      <c r="T31" s="63">
        <f t="shared" ca="1" si="0"/>
        <v>45989</v>
      </c>
      <c r="U31" s="62">
        <f t="shared" ca="1" si="0"/>
        <v>45990</v>
      </c>
      <c r="V31" s="59"/>
      <c r="W31" s="59"/>
      <c r="X31" s="62">
        <f t="shared" ca="1" si="1"/>
        <v>46047</v>
      </c>
      <c r="Y31" s="63">
        <f t="shared" ca="1" si="1"/>
        <v>46048</v>
      </c>
      <c r="Z31" s="63">
        <f t="shared" ca="1" si="1"/>
        <v>46049</v>
      </c>
      <c r="AA31" s="63">
        <f t="shared" ca="1" si="1"/>
        <v>46050</v>
      </c>
      <c r="AB31" s="63">
        <f t="shared" ca="1" si="1"/>
        <v>46051</v>
      </c>
      <c r="AC31" s="63">
        <f t="shared" ca="1" si="1"/>
        <v>46052</v>
      </c>
      <c r="AD31" s="63">
        <f t="shared" ca="1" si="1"/>
        <v>46053</v>
      </c>
      <c r="AF31" s="1"/>
    </row>
    <row r="32" spans="1:42" x14ac:dyDescent="0.3">
      <c r="A32" s="1"/>
      <c r="M32" s="1"/>
      <c r="O32" s="62">
        <f t="shared" ca="1" si="0"/>
        <v>45991</v>
      </c>
      <c r="P32" s="63" t="str">
        <f t="shared" ca="1" si="0"/>
        <v/>
      </c>
      <c r="Q32" s="63" t="str">
        <f t="shared" ca="1" si="0"/>
        <v/>
      </c>
      <c r="R32" s="63" t="str">
        <f t="shared" ca="1" si="0"/>
        <v/>
      </c>
      <c r="S32" s="63" t="str">
        <f t="shared" ca="1" si="0"/>
        <v/>
      </c>
      <c r="T32" s="63" t="str">
        <f t="shared" ca="1" si="0"/>
        <v/>
      </c>
      <c r="U32" s="62" t="str">
        <f t="shared" ca="1" si="0"/>
        <v/>
      </c>
      <c r="V32" s="59"/>
      <c r="W32" s="59"/>
      <c r="X32" s="62" t="str">
        <f t="shared" ca="1" si="1"/>
        <v/>
      </c>
      <c r="Y32" s="63" t="str">
        <f t="shared" ca="1" si="1"/>
        <v/>
      </c>
      <c r="Z32" s="63" t="str">
        <f t="shared" ca="1" si="1"/>
        <v/>
      </c>
      <c r="AA32" s="63" t="str">
        <f t="shared" ca="1" si="1"/>
        <v/>
      </c>
      <c r="AB32" s="63" t="str">
        <f t="shared" ca="1" si="1"/>
        <v/>
      </c>
      <c r="AC32" s="63" t="str">
        <f t="shared" ca="1" si="1"/>
        <v/>
      </c>
      <c r="AD32" s="63" t="str">
        <f t="shared" ca="1" si="1"/>
        <v/>
      </c>
      <c r="AF32" s="1"/>
    </row>
    <row r="33" spans="1:32" x14ac:dyDescent="0.3">
      <c r="A33" s="1"/>
      <c r="M33" s="1"/>
      <c r="O33" s="62"/>
      <c r="P33" s="63"/>
      <c r="Q33" s="63"/>
      <c r="R33" s="63"/>
      <c r="S33" s="63"/>
      <c r="T33" s="63"/>
      <c r="U33" s="62"/>
      <c r="V33" s="59"/>
      <c r="W33" s="59"/>
      <c r="X33" s="62"/>
      <c r="Y33" s="63"/>
      <c r="Z33" s="63"/>
      <c r="AA33" s="63"/>
      <c r="AB33" s="63"/>
      <c r="AC33" s="63"/>
      <c r="AD33" s="63"/>
      <c r="AF33" s="1"/>
    </row>
    <row r="34" spans="1:32" ht="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</sheetData>
  <mergeCells count="104">
    <mergeCell ref="C30:K31"/>
    <mergeCell ref="K17:N17"/>
    <mergeCell ref="K18:N18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E20:F20"/>
    <mergeCell ref="O21:V21"/>
    <mergeCell ref="W21:AD21"/>
    <mergeCell ref="C21:D21"/>
    <mergeCell ref="E21:F21"/>
    <mergeCell ref="G21:H21"/>
    <mergeCell ref="I21:J21"/>
    <mergeCell ref="K21:N21"/>
    <mergeCell ref="G20:H20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O5:V5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I20:J20"/>
    <mergeCell ref="K20:N20"/>
    <mergeCell ref="O20:V20"/>
    <mergeCell ref="W20:AD20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</mergeCells>
  <conditionalFormatting sqref="C5 E5 G5 I5 K5:L5 O5 W5 C7 E8 G8 I8 K8:L8 O8 W8 C10 E11 G11 I11 K11:L11 O11 W11 C13 E14 G14 I14 K14:L14 O14 W14 C16 E17 G17 I17 K17 O17 W17">
    <cfRule type="expression" dxfId="3" priority="3">
      <formula>MONTH(C5)&lt;&gt;MONTH($C$2)</formula>
    </cfRule>
    <cfRule type="expression" dxfId="2" priority="4">
      <formula>OR(WEEKDAY(C5,1)=1,WEEKDAY(C5,1)=7)</formula>
    </cfRule>
  </conditionalFormatting>
  <conditionalFormatting sqref="C19 E20 G20 I20 K20 O20 W20">
    <cfRule type="expression" dxfId="1" priority="1">
      <formula>MONTH(C19)&lt;&gt;MONTH($C$2)</formula>
    </cfRule>
    <cfRule type="expression" dxfId="0" priority="2">
      <formula>OR(WEEKDAY(C19,1)=1,WEEKDAY(C19,1)=7)</formula>
    </cfRule>
  </conditionalFormatting>
  <dataValidations count="7">
    <dataValidation allowBlank="1" showInputMessage="1" showErrorMessage="1" prompt="Next month calendar" sqref="X25:AD25" xr:uid="{A83DF5D1-2EFF-471A-9B9A-A65CF983BC11}"/>
    <dataValidation allowBlank="1" showInputMessage="1" showErrorMessage="1" prompt="Previous month calendar" sqref="O25:U25" xr:uid="{AF79A929-E46D-45CE-8B43-9F3952E72E89}"/>
    <dataValidation allowBlank="1" showInputMessage="1" showErrorMessage="1" prompt="Enter monthly notes in cells C24 to K28" sqref="C25:K26" xr:uid="{DBD88583-4D45-4329-B26F-70F95BC0BD6A}"/>
    <dataValidation allowBlank="1" showInputMessage="1" showErrorMessage="1" prompt="Enter daily notes below the calendar days, such as this cell" sqref="C6:D6" xr:uid="{79B7F973-2DA0-4391-9F75-BF3CAB5178DC}"/>
    <dataValidation allowBlank="1" showInputMessage="1" showErrorMessage="1" prompt="To change the starting day of the week, go to cell P12 in About sheet" sqref="C4:D4" xr:uid="{5BEEE62A-FA17-4963-9E4D-AD52D6A1EF10}"/>
    <dataValidation allowBlank="1" showInputMessage="1" showErrorMessage="1" prompt="Calendar days are automatically updated" sqref="C5:D5" xr:uid="{636E6907-E41E-4D0D-847D-B7ED44648BB1}"/>
    <dataValidation allowBlank="1" showInputMessage="1" showErrorMessage="1" prompt="To change the calendar year, go to cell P8 in About sheet" sqref="C2:AD2" xr:uid="{20F6B6EF-B054-4563-AAC5-1279D3E756DD}"/>
  </dataValidations>
  <printOptions horizontalCentered="1"/>
  <pageMargins left="0.5" right="0.5" top="0.25" bottom="0.25" header="0.25" footer="0.25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01CC6-7A0A-429C-B445-7EDA1CF4A1D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7F0D3479-5903-425F-9669-62B4E7216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B2AC7B-9255-401F-BB26-0FC2E86F3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About</vt:lpstr>
      <vt:lpstr>October</vt:lpstr>
      <vt:lpstr>November</vt:lpstr>
      <vt:lpstr>December</vt:lpstr>
      <vt:lpstr>December!Print_Area</vt:lpstr>
      <vt:lpstr>November!Print_Area</vt:lpstr>
      <vt:lpstr>October!Print_Area</vt:lpstr>
      <vt:lpstr>start_day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2025-10-24T16:13:21Z</dcterms:created>
  <dcterms:modified xsi:type="dcterms:W3CDTF">2025-10-26T03:27:45Z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